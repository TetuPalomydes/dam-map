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目次・取説" sheetId="1" r:id="rId5"/>
    <sheet state="visible" name="南東大幹線ルート" sheetId="2" r:id="rId6"/>
    <sheet state="visible" name="南ルート " sheetId="3" r:id="rId7"/>
    <sheet state="visible" name="南東砦隣接分岐用（裏）" sheetId="4" r:id="rId8"/>
    <sheet state="visible" name="蜀・他向け遠征進路用" sheetId="5" r:id="rId9"/>
  </sheets>
  <definedNames/>
  <calcPr/>
</workbook>
</file>

<file path=xl/sharedStrings.xml><?xml version="1.0" encoding="utf-8"?>
<sst xmlns="http://schemas.openxmlformats.org/spreadsheetml/2006/main" count="195" uniqueCount="86">
  <si>
    <t>目次</t>
  </si>
  <si>
    <t>リンク</t>
  </si>
  <si>
    <t>南東大幹線＋東（下邳）</t>
  </si>
  <si>
    <t>南・朱雀・長沙</t>
  </si>
  <si>
    <t>南東裏幹線</t>
  </si>
  <si>
    <t>争覇用</t>
  </si>
  <si>
    <t>遠征イメージ及び計画</t>
  </si>
  <si>
    <t>下邳と長沙を除き基本自動出兵とするが</t>
  </si>
  <si>
    <t>空きセルでやり取りをしながら</t>
  </si>
  <si>
    <t>協力して進めて下さい</t>
  </si>
  <si>
    <t>入力見本</t>
  </si>
  <si>
    <t>担当名</t>
  </si>
  <si>
    <t>てつ</t>
  </si>
  <si>
    <t>←走る人が書く</t>
  </si>
  <si>
    <t>起点座標</t>
  </si>
  <si>
    <t>自動出兵SC</t>
  </si>
  <si>
    <t>ぞく</t>
  </si>
  <si>
    <t>←次の人は</t>
  </si>
  <si>
    <t>ここに書く</t>
  </si>
  <si>
    <t>←その次の人</t>
  </si>
  <si>
    <t>見本の場合</t>
  </si>
  <si>
    <t>てつ：(300,-300)～(350,-328)の間を走る</t>
  </si>
  <si>
    <t>ぞく：(350,-328)～(400,-356)の間を走る</t>
  </si>
  <si>
    <t>大体この辺を走る、と言う感じでOK</t>
  </si>
  <si>
    <t>自動遠征前提なので、自動遠征ショートカットを</t>
  </si>
  <si>
    <t>利用して進めばOK</t>
  </si>
  <si>
    <t>担当間のやり取りはこそこそやFM、SS内で</t>
  </si>
  <si>
    <t>行うこと。</t>
  </si>
  <si>
    <t>担当は一番上(黄色いセル）に名前を書いて下さい</t>
  </si>
  <si>
    <t>使用方法等は目次・取説タブ参照のこと</t>
  </si>
  <si>
    <t>南東行き</t>
  </si>
  <si>
    <t>大幹線ルート</t>
  </si>
  <si>
    <t>目次・取説</t>
  </si>
  <si>
    <t>X</t>
  </si>
  <si>
    <t>Y</t>
  </si>
  <si>
    <t>✕</t>
  </si>
  <si>
    <t>今回は不可侵のため使用禁止予定</t>
  </si>
  <si>
    <t>↓青龍と下邳は様子見だが、綺羅様のルート計画に沿って動くこと。</t>
  </si>
  <si>
    <t>https://docs.google.com/spreadsheets/d/1cNB1TX6KhjnUZGyToNZSvRkFStPIaHQiXDiCZ5NVjc8/edit#gid=2039700677</t>
  </si>
  <si>
    <t>東への分岐（主幹線）</t>
  </si>
  <si>
    <t>下邳方面（青龍大砦）</t>
  </si>
  <si>
    <t>→</t>
  </si>
  <si>
    <t>↓</t>
  </si>
  <si>
    <t>幹線</t>
  </si>
  <si>
    <t>応龍大砦（南東）</t>
  </si>
  <si>
    <t>起点</t>
  </si>
  <si>
    <t>登山口</t>
  </si>
  <si>
    <t>（北西側）</t>
  </si>
  <si>
    <t>・下邳・震宮・三碧分岐</t>
  </si>
  <si>
    <t>下邳分岐</t>
  </si>
  <si>
    <t>北東行き</t>
  </si>
  <si>
    <t>震宮砦分岐</t>
  </si>
  <si>
    <t>三碧砦分岐</t>
  </si>
  <si>
    <t>巽宮砦分岐</t>
  </si>
  <si>
    <t>（東側）</t>
  </si>
  <si>
    <t>建業分岐</t>
  </si>
  <si>
    <t>南行き</t>
  </si>
  <si>
    <t>南の幹線は綺羅様のルート計画に従ってください。</t>
  </si>
  <si>
    <t>分岐などがアレな場合は下に分岐地点を入れてあるのでそこを利用されたし＠哲</t>
  </si>
  <si>
    <t>https://docs.google.com/spreadsheets/d/1cNB1TX6KhjnUZGyToNZSvRkFStPIaHQiXDiCZ5NVjc8/edit#gid=351356903</t>
  </si>
  <si>
    <t>朱雀大砦分岐</t>
  </si>
  <si>
    <t>（北東側）</t>
  </si>
  <si>
    <t>九紫砦分岐（南東）</t>
  </si>
  <si>
    <t>離宮砦分岐（西南西）</t>
  </si>
  <si>
    <t>九紫分岐（南西）</t>
  </si>
  <si>
    <t>離宮分岐（東南東）</t>
  </si>
  <si>
    <t>獅童</t>
  </si>
  <si>
    <t>※長沙登山口</t>
  </si>
  <si>
    <t>（北側）</t>
  </si>
  <si>
    <t>南西（南）側の隣接確保用大幹線となります。</t>
  </si>
  <si>
    <t>裏幹線ルート</t>
  </si>
  <si>
    <t>各所途中の足場を起点に斜め左上か斜め左下に走り、砦隣接を確保して回ること</t>
  </si>
  <si>
    <t>本リストの座標は大凡の計画であり、自動出兵時にNPCなどが邪魔する場合は適当に迂回のこと</t>
  </si>
  <si>
    <t>あくまでもこの辺を走って行くという計画で在ることを理解願いたく。</t>
  </si>
  <si>
    <t>四緑砦の分岐あり、ソロ向け</t>
  </si>
  <si>
    <t>四緑砦分岐</t>
  </si>
  <si>
    <t>長沙</t>
  </si>
  <si>
    <t>北西部</t>
  </si>
  <si>
    <t>西行き</t>
  </si>
  <si>
    <t>蜀と他に切り込んでいく側の幹線となります。</t>
  </si>
  <si>
    <t>幹線ルート</t>
  </si>
  <si>
    <t>他への分岐</t>
  </si>
  <si>
    <t>ここから</t>
  </si>
  <si>
    <t>蜀に</t>
  </si>
  <si>
    <t>突入</t>
  </si>
  <si>
    <t>他に</t>
  </si>
</sst>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scheme val="minor"/>
    </font>
    <font>
      <color theme="1"/>
      <name val="Arial"/>
      <scheme val="minor"/>
    </font>
    <font>
      <b/>
      <sz val="23.0"/>
      <color theme="1"/>
      <name val="Arial"/>
      <scheme val="minor"/>
    </font>
    <font>
      <b/>
      <u/>
      <sz val="20.0"/>
      <color rgb="FF0000FF"/>
    </font>
    <font>
      <b/>
      <sz val="20.0"/>
      <color theme="1"/>
      <name val="Arial"/>
      <scheme val="minor"/>
    </font>
    <font>
      <b/>
      <color rgb="FFFF0000"/>
      <name val="Arial"/>
      <scheme val="minor"/>
    </font>
    <font>
      <b/>
      <sz val="10.0"/>
      <color theme="1"/>
      <name val="Arial"/>
      <scheme val="minor"/>
    </font>
    <font/>
    <font>
      <u/>
      <color rgb="FF0000FF"/>
    </font>
    <font>
      <u/>
      <color rgb="FF0000FF"/>
    </font>
    <font>
      <b/>
      <sz val="14.0"/>
      <color rgb="FFFF0000"/>
      <name val="Arial"/>
      <scheme val="minor"/>
    </font>
    <font>
      <u/>
      <color rgb="FF0000FF"/>
    </font>
    <font>
      <b/>
      <u/>
      <sz val="11.0"/>
      <color rgb="FF0000FF"/>
    </font>
    <font>
      <b/>
      <sz val="11.0"/>
      <color theme="1"/>
      <name val="Arial"/>
      <scheme val="minor"/>
    </font>
    <font>
      <color rgb="FF000000"/>
      <name val="&quot;\&quot;ＭＳ Ｐゴシック\&quot;&quot;"/>
    </font>
    <font>
      <color rgb="FFFF0000"/>
      <name val="Arial"/>
      <scheme val="minor"/>
    </font>
    <font>
      <b/>
      <color theme="1"/>
      <name val="Arial"/>
      <scheme val="minor"/>
    </font>
    <font>
      <u/>
      <color rgb="FF0000FF"/>
    </font>
    <font>
      <sz val="10.0"/>
      <color theme="1"/>
      <name val="Arial"/>
      <scheme val="minor"/>
    </font>
    <font>
      <sz val="9.0"/>
      <color rgb="FF1F1F1F"/>
      <name val="&quot;Google Sans&quot;"/>
    </font>
    <font>
      <u/>
      <color rgb="FF0000FF"/>
    </font>
    <font>
      <u/>
      <color rgb="FF0000FF"/>
    </font>
    <font>
      <u/>
      <color rgb="FF0000FF"/>
    </font>
    <font>
      <u/>
      <color rgb="FF0000FF"/>
    </font>
    <font>
      <u/>
      <color rgb="FF0000FF"/>
    </font>
    <font>
      <color theme="1"/>
      <name val="Arial"/>
    </font>
    <font>
      <b/>
      <u/>
      <sz val="10.0"/>
      <color rgb="FF0000FF"/>
    </font>
    <font>
      <u/>
      <color rgb="FF0000FF"/>
    </font>
    <font>
      <u/>
      <color rgb="FF0000FF"/>
    </font>
    <font>
      <u/>
      <color rgb="FF0000FF"/>
    </font>
    <font>
      <u/>
      <color rgb="FF0000FF"/>
    </font>
    <font>
      <u/>
      <color rgb="FF0000FF"/>
    </font>
    <font>
      <u/>
      <color rgb="FF0000FF"/>
    </font>
    <font>
      <b/>
      <sz val="19.0"/>
      <color rgb="FFFF0000"/>
      <name val="&quot;\&quot;ＭＳ Ｐゴシック\&quot;&quot;"/>
    </font>
    <font>
      <color rgb="FFFFFFFF"/>
      <name val="Arial"/>
      <scheme val="minor"/>
    </font>
    <font>
      <u/>
      <color rgb="FF0000FF"/>
    </font>
    <font>
      <u/>
      <color rgb="FF0000FF"/>
    </font>
    <font>
      <u/>
      <color rgb="FF0000FF"/>
    </font>
    <font>
      <u/>
      <color rgb="FF0000FF"/>
    </font>
    <font>
      <u/>
      <color rgb="FF0000FF"/>
    </font>
  </fonts>
  <fills count="12">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CCCCCC"/>
        <bgColor rgb="FFCCCCCC"/>
      </patternFill>
    </fill>
    <fill>
      <patternFill patternType="solid">
        <fgColor rgb="FF00FFFF"/>
        <bgColor rgb="FF00FFFF"/>
      </patternFill>
    </fill>
    <fill>
      <patternFill patternType="solid">
        <fgColor rgb="FFFCE5CD"/>
        <bgColor rgb="FFFCE5CD"/>
      </patternFill>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FF0000"/>
        <bgColor rgb="FFFF0000"/>
      </patternFill>
    </fill>
  </fills>
  <borders count="63">
    <border/>
    <border>
      <left style="medium">
        <color rgb="FFEA4335"/>
      </left>
      <top style="medium">
        <color rgb="FFEA4335"/>
      </top>
    </border>
    <border>
      <top style="medium">
        <color rgb="FFEA4335"/>
      </top>
    </border>
    <border>
      <right style="medium">
        <color rgb="FFEA4335"/>
      </right>
      <top style="medium">
        <color rgb="FFEA4335"/>
      </top>
    </border>
    <border>
      <left style="medium">
        <color rgb="FFEA4335"/>
      </left>
    </border>
    <border>
      <left style="thick">
        <color rgb="FFFF0000"/>
      </left>
      <top style="thick">
        <color rgb="FFFF0000"/>
      </top>
    </border>
    <border>
      <top style="thick">
        <color rgb="FFFF0000"/>
      </top>
    </border>
    <border>
      <right style="thick">
        <color rgb="FFFF0000"/>
      </right>
      <top style="thick">
        <color rgb="FFFF0000"/>
      </top>
    </border>
    <border>
      <right style="medium">
        <color rgb="FFEA4335"/>
      </right>
    </border>
    <border>
      <left style="thick">
        <color rgb="FFFF0000"/>
      </left>
    </border>
    <border>
      <right style="thick">
        <color rgb="FFFF0000"/>
      </right>
    </border>
    <border>
      <left style="medium">
        <color rgb="FFEA4335"/>
      </left>
      <bottom style="thin">
        <color rgb="FFEA4335"/>
      </bottom>
    </border>
    <border>
      <right style="medium">
        <color rgb="FFEA4335"/>
      </right>
      <bottom style="thin">
        <color rgb="FFEA4335"/>
      </bottom>
    </border>
    <border>
      <left style="medium">
        <color rgb="FFEA4335"/>
      </left>
      <bottom style="medium">
        <color rgb="FFEA4335"/>
      </bottom>
    </border>
    <border>
      <bottom style="medium">
        <color rgb="FFEA4335"/>
      </bottom>
    </border>
    <border>
      <right style="medium">
        <color rgb="FFEA4335"/>
      </right>
      <bottom style="medium">
        <color rgb="FFEA4335"/>
      </bottom>
    </border>
    <border>
      <left style="thick">
        <color rgb="FFFF0000"/>
      </left>
      <bottom style="thick">
        <color rgb="FFFF0000"/>
      </bottom>
    </border>
    <border>
      <bottom style="thick">
        <color rgb="FFFF0000"/>
      </bottom>
    </border>
    <border>
      <right style="thick">
        <color rgb="FFFF0000"/>
      </right>
      <bottom style="thick">
        <color rgb="FFFF0000"/>
      </bottom>
    </border>
    <border>
      <left style="thick">
        <color rgb="FF00FF00"/>
      </left>
      <top style="thick">
        <color rgb="FF00FF00"/>
      </top>
    </border>
    <border>
      <top style="thick">
        <color rgb="FF00FF00"/>
      </top>
    </border>
    <border>
      <right style="thick">
        <color rgb="FF00FF00"/>
      </right>
      <top style="thick">
        <color rgb="FF00FF00"/>
      </top>
    </border>
    <border>
      <left style="thick">
        <color rgb="FF00FF00"/>
      </left>
    </border>
    <border>
      <right style="thick">
        <color rgb="FF00FF00"/>
      </right>
    </border>
    <border>
      <left style="thick">
        <color rgb="FF00FF00"/>
      </left>
      <bottom style="thick">
        <color rgb="FF00FF00"/>
      </bottom>
    </border>
    <border>
      <bottom style="thick">
        <color rgb="FF00FF00"/>
      </bottom>
    </border>
    <border>
      <right style="thick">
        <color rgb="FF00FF00"/>
      </right>
      <bottom style="thick">
        <color rgb="FF00FF00"/>
      </bottom>
    </border>
    <border>
      <left style="thick">
        <color rgb="FFFCE5CD"/>
      </left>
      <top style="thick">
        <color rgb="FFFCE5CD"/>
      </top>
    </border>
    <border>
      <top style="thick">
        <color rgb="FFFCE5CD"/>
      </top>
    </border>
    <border>
      <right style="thick">
        <color rgb="FFFCE5CD"/>
      </right>
      <top style="thick">
        <color rgb="FFFCE5CD"/>
      </top>
    </border>
    <border>
      <left style="thick">
        <color rgb="FFFCE5CD"/>
      </left>
    </border>
    <border>
      <right style="thick">
        <color rgb="FFFCE5CD"/>
      </right>
    </border>
    <border>
      <left style="thick">
        <color rgb="FFFCE5CD"/>
      </left>
      <bottom style="thick">
        <color rgb="FFFCE5CD"/>
      </bottom>
    </border>
    <border>
      <bottom style="thick">
        <color rgb="FFFCE5CD"/>
      </bottom>
    </border>
    <border>
      <right style="thick">
        <color rgb="FFFCE5CD"/>
      </right>
      <bottom style="thick">
        <color rgb="FFFCE5CD"/>
      </bottom>
    </border>
    <border>
      <left style="thick">
        <color rgb="FFE6B8AF"/>
      </left>
      <top style="thick">
        <color rgb="FFE6B8AF"/>
      </top>
    </border>
    <border>
      <top style="thick">
        <color rgb="FFE6B8AF"/>
      </top>
    </border>
    <border>
      <right style="thick">
        <color rgb="FFE6B8AF"/>
      </right>
      <top style="thick">
        <color rgb="FFE6B8AF"/>
      </top>
    </border>
    <border>
      <left style="thick">
        <color rgb="FFE6B8AF"/>
      </left>
    </border>
    <border>
      <right style="thick">
        <color rgb="FFE6B8AF"/>
      </right>
    </border>
    <border>
      <left style="thick">
        <color rgb="FFE6B8AF"/>
      </left>
      <bottom style="thick">
        <color rgb="FFE6B8AF"/>
      </bottom>
    </border>
    <border>
      <bottom style="thick">
        <color rgb="FFE6B8AF"/>
      </bottom>
    </border>
    <border>
      <right style="thick">
        <color rgb="FFE6B8AF"/>
      </right>
      <bottom style="thick">
        <color rgb="FFE6B8AF"/>
      </bottom>
    </border>
    <border>
      <left style="thick">
        <color rgb="FF4A86E8"/>
      </left>
      <top style="thick">
        <color rgb="FF4A86E8"/>
      </top>
    </border>
    <border>
      <top style="thick">
        <color rgb="FF4A86E8"/>
      </top>
    </border>
    <border>
      <right style="thick">
        <color rgb="FF4A86E8"/>
      </right>
      <top style="thick">
        <color rgb="FF4A86E8"/>
      </top>
    </border>
    <border>
      <left style="thick">
        <color rgb="FF4A86E8"/>
      </left>
    </border>
    <border>
      <right style="thick">
        <color rgb="FF4A86E8"/>
      </right>
    </border>
    <border>
      <left style="thick">
        <color rgb="FF4A86E8"/>
      </left>
      <bottom style="thick">
        <color rgb="FF4A86E8"/>
      </bottom>
    </border>
    <border>
      <bottom style="thick">
        <color rgb="FF4A86E8"/>
      </bottom>
    </border>
    <border>
      <right style="thick">
        <color rgb="FF4A86E8"/>
      </right>
      <bottom style="thick">
        <color rgb="FF4A86E8"/>
      </bottom>
    </border>
    <border>
      <left style="thick">
        <color rgb="FFFF9900"/>
      </left>
      <top style="thick">
        <color rgb="FFFF9900"/>
      </top>
    </border>
    <border>
      <top style="thick">
        <color rgb="FFFF9900"/>
      </top>
    </border>
    <border>
      <right style="thick">
        <color rgb="FFFF9900"/>
      </right>
      <top style="thick">
        <color rgb="FFFF9900"/>
      </top>
    </border>
    <border>
      <left style="thick">
        <color rgb="FFFF9900"/>
      </left>
    </border>
    <border>
      <right style="thick">
        <color rgb="FFFF9900"/>
      </right>
    </border>
    <border>
      <left style="thick">
        <color rgb="FFFF9900"/>
      </left>
      <bottom style="thick">
        <color rgb="FFFF9900"/>
      </bottom>
    </border>
    <border>
      <bottom style="thick">
        <color rgb="FFFF9900"/>
      </bottom>
    </border>
    <border>
      <right style="thick">
        <color rgb="FFFF9900"/>
      </right>
      <bottom style="thick">
        <color rgb="FFFF9900"/>
      </bottom>
    </border>
    <border>
      <left style="thick">
        <color rgb="FF00FF00"/>
      </left>
      <bottom style="thick">
        <color rgb="FF4A86E8"/>
      </bottom>
    </border>
    <border>
      <right style="thick">
        <color rgb="FF00FF00"/>
      </right>
      <bottom style="thick">
        <color rgb="FF4A86E8"/>
      </bottom>
    </border>
    <border>
      <left style="thick">
        <color rgb="FF00FF00"/>
      </left>
      <top style="thick">
        <color rgb="FF4A86E8"/>
      </top>
    </border>
    <border>
      <right style="thick">
        <color rgb="FF00FF00"/>
      </right>
      <top style="thick">
        <color rgb="FF4A86E8"/>
      </top>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Font="1"/>
    <xf borderId="1" fillId="2" fontId="5" numFmtId="0" xfId="0" applyAlignment="1" applyBorder="1" applyFill="1" applyFont="1">
      <alignment readingOrder="0"/>
    </xf>
    <xf borderId="2" fillId="0" fontId="1" numFmtId="0" xfId="0" applyBorder="1" applyFont="1"/>
    <xf borderId="3" fillId="0" fontId="1" numFmtId="0" xfId="0" applyBorder="1" applyFont="1"/>
    <xf borderId="4" fillId="0" fontId="1" numFmtId="0" xfId="0" applyAlignment="1" applyBorder="1" applyFont="1">
      <alignment readingOrder="0"/>
    </xf>
    <xf borderId="5" fillId="2" fontId="6" numFmtId="0" xfId="0" applyAlignment="1" applyBorder="1" applyFont="1">
      <alignment horizontal="center" readingOrder="0"/>
    </xf>
    <xf borderId="6" fillId="0" fontId="7" numFmtId="0" xfId="0" applyBorder="1" applyFont="1"/>
    <xf borderId="7" fillId="0" fontId="7" numFmtId="0" xfId="0" applyBorder="1" applyFont="1"/>
    <xf borderId="8" fillId="0" fontId="1" numFmtId="0" xfId="0" applyAlignment="1" applyBorder="1" applyFont="1">
      <alignment readingOrder="0"/>
    </xf>
    <xf borderId="9" fillId="0" fontId="1" numFmtId="0" xfId="0" applyAlignment="1" applyBorder="1" applyFont="1">
      <alignment readingOrder="0"/>
    </xf>
    <xf borderId="10" fillId="0" fontId="8" numFmtId="0" xfId="0" applyBorder="1" applyFont="1"/>
    <xf borderId="8" fillId="0" fontId="1" numFmtId="0" xfId="0" applyBorder="1" applyFont="1"/>
    <xf borderId="9" fillId="0" fontId="9" numFmtId="0" xfId="0" applyAlignment="1" applyBorder="1" applyFont="1">
      <alignment horizontal="center" readingOrder="0"/>
    </xf>
    <xf borderId="10" fillId="0" fontId="7" numFmtId="0" xfId="0" applyBorder="1" applyFont="1"/>
    <xf borderId="4" fillId="0" fontId="1" numFmtId="0" xfId="0" applyBorder="1" applyFont="1"/>
    <xf borderId="11" fillId="0" fontId="1" numFmtId="0" xfId="0" applyBorder="1" applyFont="1"/>
    <xf borderId="12" fillId="0" fontId="1" numFmtId="0" xfId="0" applyBorder="1" applyFont="1"/>
    <xf borderId="4" fillId="2" fontId="5" numFmtId="0" xfId="0" applyAlignment="1" applyBorder="1" applyFont="1">
      <alignment readingOrder="0"/>
    </xf>
    <xf borderId="0" fillId="2" fontId="5" numFmtId="0" xfId="0" applyFont="1"/>
    <xf borderId="8" fillId="2" fontId="5" numFmtId="0" xfId="0" applyBorder="1" applyFont="1"/>
    <xf borderId="13" fillId="0" fontId="1" numFmtId="0" xfId="0" applyBorder="1" applyFont="1"/>
    <xf borderId="14" fillId="0" fontId="1" numFmtId="0" xfId="0" applyBorder="1" applyFont="1"/>
    <xf borderId="15" fillId="0" fontId="1" numFmtId="0" xfId="0" applyBorder="1" applyFont="1"/>
    <xf borderId="0" fillId="0" fontId="10" numFmtId="0" xfId="0" applyAlignment="1" applyFont="1">
      <alignment readingOrder="0"/>
    </xf>
    <xf borderId="0" fillId="0" fontId="11" numFmtId="0" xfId="0" applyAlignment="1" applyFont="1">
      <alignment readingOrder="0"/>
    </xf>
    <xf borderId="5" fillId="3" fontId="1" numFmtId="0" xfId="0" applyAlignment="1" applyBorder="1" applyFill="1" applyFont="1">
      <alignment horizontal="center" readingOrder="0"/>
    </xf>
    <xf borderId="0" fillId="0" fontId="1" numFmtId="0" xfId="0" applyAlignment="1" applyFont="1">
      <alignment horizontal="center" readingOrder="0"/>
    </xf>
    <xf borderId="9" fillId="3" fontId="1" numFmtId="0" xfId="0" applyAlignment="1" applyBorder="1" applyFont="1">
      <alignment horizontal="center" readingOrder="0"/>
    </xf>
    <xf borderId="0" fillId="0" fontId="12" numFmtId="0" xfId="0" applyAlignment="1" applyFont="1">
      <alignment readingOrder="0"/>
    </xf>
    <xf borderId="16" fillId="3" fontId="1" numFmtId="0" xfId="0" applyAlignment="1" applyBorder="1" applyFont="1">
      <alignment horizontal="center" readingOrder="0"/>
    </xf>
    <xf borderId="17" fillId="3" fontId="1" numFmtId="0" xfId="0" applyAlignment="1" applyBorder="1" applyFont="1">
      <alignment horizontal="center" readingOrder="0"/>
    </xf>
    <xf borderId="18" fillId="3" fontId="1" numFmtId="0" xfId="0" applyBorder="1" applyFont="1"/>
    <xf borderId="0" fillId="0" fontId="13" numFmtId="0" xfId="0" applyFont="1"/>
    <xf borderId="0" fillId="0" fontId="6" numFmtId="0" xfId="0" applyAlignment="1" applyFont="1">
      <alignment horizontal="center" readingOrder="0"/>
    </xf>
    <xf borderId="0" fillId="0" fontId="14" numFmtId="0" xfId="0" applyAlignment="1" applyFont="1">
      <alignment horizontal="right" readingOrder="0" shrinkToFit="0" vertical="bottom" wrapText="0"/>
    </xf>
    <xf borderId="0" fillId="0" fontId="15" numFmtId="0" xfId="0" applyAlignment="1" applyFont="1">
      <alignment readingOrder="0"/>
    </xf>
    <xf borderId="0" fillId="4" fontId="1" numFmtId="0" xfId="0" applyAlignment="1" applyFill="1" applyFont="1">
      <alignment horizontal="center" readingOrder="0"/>
    </xf>
    <xf borderId="0" fillId="0" fontId="16" numFmtId="0" xfId="0" applyAlignment="1" applyFont="1">
      <alignment horizontal="center" readingOrder="0"/>
    </xf>
    <xf borderId="0" fillId="4" fontId="16" numFmtId="0" xfId="0" applyAlignment="1" applyFont="1">
      <alignment horizontal="center" readingOrder="0"/>
    </xf>
    <xf borderId="0" fillId="4" fontId="1" numFmtId="0" xfId="0" applyAlignment="1" applyFont="1">
      <alignment horizontal="left" readingOrder="0"/>
    </xf>
    <xf borderId="0" fillId="4" fontId="1" numFmtId="0" xfId="0" applyFont="1"/>
    <xf borderId="0" fillId="4" fontId="17" numFmtId="0" xfId="0" applyAlignment="1" applyFont="1">
      <alignment horizontal="left" readingOrder="0"/>
    </xf>
    <xf borderId="0" fillId="3" fontId="1" numFmtId="0" xfId="0" applyFont="1"/>
    <xf borderId="0" fillId="3" fontId="1" numFmtId="0" xfId="0" applyAlignment="1" applyFont="1">
      <alignment horizontal="center" readingOrder="0"/>
    </xf>
    <xf borderId="0" fillId="3" fontId="1" numFmtId="0" xfId="0" applyAlignment="1" applyFont="1">
      <alignment readingOrder="0"/>
    </xf>
    <xf borderId="0" fillId="4" fontId="1" numFmtId="0" xfId="0" applyAlignment="1" applyFont="1">
      <alignment readingOrder="0"/>
    </xf>
    <xf borderId="19" fillId="4" fontId="6" numFmtId="0" xfId="0" applyAlignment="1" applyBorder="1" applyFont="1">
      <alignment horizontal="center" readingOrder="0"/>
    </xf>
    <xf borderId="20" fillId="0" fontId="7" numFmtId="0" xfId="0" applyBorder="1" applyFont="1"/>
    <xf borderId="21" fillId="0" fontId="7" numFmtId="0" xfId="0" applyBorder="1" applyFont="1"/>
    <xf borderId="0" fillId="4" fontId="18" numFmtId="0" xfId="0" applyAlignment="1" applyFont="1">
      <alignment horizontal="center" readingOrder="0"/>
    </xf>
    <xf borderId="0" fillId="4" fontId="19" numFmtId="0" xfId="0" applyAlignment="1" applyFont="1">
      <alignment readingOrder="0"/>
    </xf>
    <xf borderId="0" fillId="5" fontId="1" numFmtId="0" xfId="0" applyAlignment="1" applyFill="1" applyFont="1">
      <alignment horizontal="center" readingOrder="0"/>
    </xf>
    <xf borderId="0" fillId="5" fontId="1" numFmtId="0" xfId="0" applyFont="1"/>
    <xf borderId="22" fillId="4" fontId="1" numFmtId="0" xfId="0" applyAlignment="1" applyBorder="1" applyFont="1">
      <alignment readingOrder="0"/>
    </xf>
    <xf borderId="23" fillId="4" fontId="20" numFmtId="0" xfId="0" applyBorder="1" applyFont="1"/>
    <xf borderId="0" fillId="5" fontId="1" numFmtId="0" xfId="0" applyAlignment="1" applyFont="1">
      <alignment readingOrder="0"/>
    </xf>
    <xf borderId="24" fillId="4" fontId="21" numFmtId="0" xfId="0" applyAlignment="1" applyBorder="1" applyFont="1">
      <alignment horizontal="center" readingOrder="0"/>
    </xf>
    <xf borderId="25" fillId="0" fontId="7" numFmtId="0" xfId="0" applyBorder="1" applyFont="1"/>
    <xf borderId="26" fillId="0" fontId="7" numFmtId="0" xfId="0" applyBorder="1" applyFont="1"/>
    <xf borderId="0" fillId="5" fontId="16" numFmtId="0" xfId="0" applyAlignment="1" applyFont="1">
      <alignment horizontal="center" readingOrder="0"/>
    </xf>
    <xf borderId="27" fillId="6" fontId="6" numFmtId="0" xfId="0" applyAlignment="1" applyBorder="1" applyFill="1" applyFont="1">
      <alignment horizontal="center" readingOrder="0"/>
    </xf>
    <xf borderId="28" fillId="0" fontId="7" numFmtId="0" xfId="0" applyBorder="1" applyFont="1"/>
    <xf borderId="29" fillId="0" fontId="7" numFmtId="0" xfId="0" applyBorder="1" applyFont="1"/>
    <xf borderId="30" fillId="0" fontId="1" numFmtId="0" xfId="0" applyAlignment="1" applyBorder="1" applyFont="1">
      <alignment readingOrder="0"/>
    </xf>
    <xf borderId="31" fillId="0" fontId="22" numFmtId="0" xfId="0" applyBorder="1" applyFont="1"/>
    <xf borderId="32" fillId="0" fontId="23" numFmtId="0" xfId="0" applyAlignment="1" applyBorder="1" applyFont="1">
      <alignment horizontal="center" readingOrder="0"/>
    </xf>
    <xf borderId="33" fillId="0" fontId="7" numFmtId="0" xfId="0" applyBorder="1" applyFont="1"/>
    <xf borderId="34" fillId="0" fontId="7" numFmtId="0" xfId="0" applyBorder="1" applyFont="1"/>
    <xf borderId="0" fillId="7" fontId="19" numFmtId="0" xfId="0" applyAlignment="1" applyFill="1" applyFont="1">
      <alignment readingOrder="0"/>
    </xf>
    <xf borderId="16" fillId="0" fontId="24" numFmtId="0" xfId="0" applyAlignment="1" applyBorder="1" applyFont="1">
      <alignment horizontal="center" readingOrder="0"/>
    </xf>
    <xf borderId="17" fillId="0" fontId="7" numFmtId="0" xfId="0" applyBorder="1" applyFont="1"/>
    <xf borderId="18" fillId="0" fontId="7" numFmtId="0" xfId="0" applyBorder="1" applyFont="1"/>
    <xf borderId="35" fillId="6" fontId="1" numFmtId="0" xfId="0" applyAlignment="1" applyBorder="1" applyFont="1">
      <alignment horizontal="center" readingOrder="0"/>
    </xf>
    <xf borderId="36" fillId="0" fontId="7" numFmtId="0" xfId="0" applyBorder="1" applyFont="1"/>
    <xf borderId="37" fillId="0" fontId="7" numFmtId="0" xfId="0" applyBorder="1" applyFont="1"/>
    <xf borderId="38" fillId="6" fontId="1" numFmtId="0" xfId="0" applyAlignment="1" applyBorder="1" applyFont="1">
      <alignment horizontal="center" readingOrder="0"/>
    </xf>
    <xf borderId="39" fillId="0" fontId="7" numFmtId="0" xfId="0" applyBorder="1" applyFont="1"/>
    <xf borderId="0" fillId="0" fontId="25" numFmtId="0" xfId="0" applyAlignment="1" applyFont="1">
      <alignment horizontal="right" vertical="bottom"/>
    </xf>
    <xf borderId="40" fillId="6" fontId="1" numFmtId="0" xfId="0" applyAlignment="1" applyBorder="1" applyFont="1">
      <alignment horizontal="center" readingOrder="0"/>
    </xf>
    <xf borderId="41" fillId="6" fontId="1" numFmtId="0" xfId="0" applyAlignment="1" applyBorder="1" applyFont="1">
      <alignment horizontal="center" readingOrder="0"/>
    </xf>
    <xf borderId="42" fillId="6" fontId="1" numFmtId="0" xfId="0" applyBorder="1" applyFont="1"/>
    <xf borderId="0" fillId="0" fontId="25" numFmtId="0" xfId="0" applyAlignment="1" applyFont="1">
      <alignment horizontal="right" vertical="bottom"/>
    </xf>
    <xf borderId="35" fillId="8" fontId="6" numFmtId="0" xfId="0" applyAlignment="1" applyBorder="1" applyFill="1" applyFont="1">
      <alignment horizontal="center" readingOrder="0"/>
    </xf>
    <xf borderId="0" fillId="0" fontId="26" numFmtId="0" xfId="0" applyAlignment="1" applyFont="1">
      <alignment readingOrder="0"/>
    </xf>
    <xf borderId="38" fillId="0" fontId="1" numFmtId="0" xfId="0" applyAlignment="1" applyBorder="1" applyFont="1">
      <alignment readingOrder="0"/>
    </xf>
    <xf borderId="23" fillId="0" fontId="27" numFmtId="0" xfId="0" applyBorder="1" applyFont="1"/>
    <xf borderId="40" fillId="0" fontId="28" numFmtId="0" xfId="0" applyAlignment="1" applyBorder="1" applyFont="1">
      <alignment horizontal="center" readingOrder="0"/>
    </xf>
    <xf borderId="41" fillId="0" fontId="7" numFmtId="0" xfId="0" applyBorder="1" applyFont="1"/>
    <xf borderId="42" fillId="0" fontId="7" numFmtId="0" xfId="0" applyBorder="1" applyFont="1"/>
    <xf borderId="0" fillId="0" fontId="14" numFmtId="0" xfId="0" applyAlignment="1" applyFont="1">
      <alignment horizontal="left" readingOrder="0" shrinkToFit="0" vertical="bottom" wrapText="0"/>
    </xf>
    <xf borderId="0" fillId="0" fontId="29" numFmtId="0" xfId="0" applyAlignment="1" applyFont="1">
      <alignment readingOrder="0"/>
    </xf>
    <xf borderId="0" fillId="0" fontId="1" numFmtId="0" xfId="0" applyAlignment="1" applyFont="1">
      <alignment horizontal="left" readingOrder="0"/>
    </xf>
    <xf borderId="0" fillId="0" fontId="18" numFmtId="0" xfId="0" applyAlignment="1" applyFont="1">
      <alignment horizontal="center" readingOrder="0"/>
    </xf>
    <xf borderId="19" fillId="9" fontId="6" numFmtId="0" xfId="0" applyAlignment="1" applyBorder="1" applyFill="1" applyFont="1">
      <alignment horizontal="center" readingOrder="0"/>
    </xf>
    <xf borderId="22" fillId="0" fontId="1" numFmtId="0" xfId="0" applyAlignment="1" applyBorder="1" applyFont="1">
      <alignment readingOrder="0"/>
    </xf>
    <xf borderId="24" fillId="0" fontId="30" numFmtId="0" xfId="0" applyAlignment="1" applyBorder="1" applyFont="1">
      <alignment horizontal="center" readingOrder="0"/>
    </xf>
    <xf borderId="43" fillId="10" fontId="1" numFmtId="0" xfId="0" applyAlignment="1" applyBorder="1" applyFill="1" applyFont="1">
      <alignment horizontal="center" readingOrder="0"/>
    </xf>
    <xf borderId="44" fillId="0" fontId="7" numFmtId="0" xfId="0" applyBorder="1" applyFont="1"/>
    <xf borderId="45" fillId="0" fontId="7" numFmtId="0" xfId="0" applyBorder="1" applyFont="1"/>
    <xf borderId="46" fillId="10" fontId="1" numFmtId="0" xfId="0" applyAlignment="1" applyBorder="1" applyFont="1">
      <alignment horizontal="center" readingOrder="0"/>
    </xf>
    <xf borderId="47" fillId="0" fontId="7" numFmtId="0" xfId="0" applyBorder="1" applyFont="1"/>
    <xf borderId="48" fillId="10" fontId="1" numFmtId="0" xfId="0" applyAlignment="1" applyBorder="1" applyFont="1">
      <alignment horizontal="center" readingOrder="0"/>
    </xf>
    <xf borderId="49" fillId="10" fontId="1" numFmtId="0" xfId="0" applyAlignment="1" applyBorder="1" applyFont="1">
      <alignment horizontal="center" readingOrder="0"/>
    </xf>
    <xf borderId="50" fillId="10" fontId="1" numFmtId="0" xfId="0" applyBorder="1" applyFont="1"/>
    <xf borderId="43" fillId="2" fontId="6" numFmtId="0" xfId="0" applyAlignment="1" applyBorder="1" applyFont="1">
      <alignment horizontal="center" readingOrder="0"/>
    </xf>
    <xf borderId="0" fillId="0" fontId="16" numFmtId="0" xfId="0" applyAlignment="1" applyFont="1">
      <alignment readingOrder="0"/>
    </xf>
    <xf borderId="46" fillId="0" fontId="1" numFmtId="0" xfId="0" applyAlignment="1" applyBorder="1" applyFont="1">
      <alignment readingOrder="0"/>
    </xf>
    <xf borderId="47" fillId="0" fontId="31" numFmtId="0" xfId="0" applyBorder="1" applyFont="1"/>
    <xf borderId="48" fillId="0" fontId="32" numFmtId="0" xfId="0" applyAlignment="1" applyBorder="1" applyFont="1">
      <alignment horizontal="center" readingOrder="0"/>
    </xf>
    <xf borderId="49" fillId="0" fontId="7" numFmtId="0" xfId="0" applyBorder="1" applyFont="1"/>
    <xf borderId="50" fillId="0" fontId="7" numFmtId="0" xfId="0" applyBorder="1" applyFont="1"/>
    <xf borderId="0" fillId="0" fontId="33" numFmtId="0" xfId="0" applyAlignment="1" applyFont="1">
      <alignment horizontal="center" readingOrder="0" shrinkToFit="0" vertical="bottom" wrapText="0"/>
    </xf>
    <xf borderId="0" fillId="0" fontId="33" numFmtId="0" xfId="0" applyAlignment="1" applyFont="1">
      <alignment horizontal="left" readingOrder="0" shrinkToFit="0" vertical="bottom" wrapText="0"/>
    </xf>
    <xf borderId="48" fillId="0" fontId="1" numFmtId="0" xfId="0" applyAlignment="1" applyBorder="1" applyFont="1">
      <alignment horizontal="center" readingOrder="0"/>
    </xf>
    <xf borderId="43" fillId="11" fontId="34" numFmtId="0" xfId="0" applyAlignment="1" applyBorder="1" applyFill="1" applyFont="1">
      <alignment horizontal="center" readingOrder="0"/>
    </xf>
    <xf borderId="46" fillId="11" fontId="34" numFmtId="0" xfId="0" applyAlignment="1" applyBorder="1" applyFont="1">
      <alignment horizontal="center" readingOrder="0"/>
    </xf>
    <xf borderId="48" fillId="11" fontId="34" numFmtId="0" xfId="0" applyAlignment="1" applyBorder="1" applyFont="1">
      <alignment horizontal="center" readingOrder="0"/>
    </xf>
    <xf borderId="49" fillId="11" fontId="34" numFmtId="0" xfId="0" applyAlignment="1" applyBorder="1" applyFont="1">
      <alignment horizontal="center" readingOrder="0"/>
    </xf>
    <xf borderId="50" fillId="11" fontId="34" numFmtId="0" xfId="0" applyBorder="1" applyFont="1"/>
    <xf borderId="51" fillId="2" fontId="6" numFmtId="0" xfId="0" applyAlignment="1" applyBorder="1" applyFont="1">
      <alignment horizontal="center" readingOrder="0"/>
    </xf>
    <xf borderId="52" fillId="0" fontId="7" numFmtId="0" xfId="0" applyBorder="1" applyFont="1"/>
    <xf borderId="53" fillId="0" fontId="7" numFmtId="0" xfId="0" applyBorder="1" applyFont="1"/>
    <xf borderId="54" fillId="0" fontId="1" numFmtId="0" xfId="0" applyAlignment="1" applyBorder="1" applyFont="1">
      <alignment readingOrder="0"/>
    </xf>
    <xf borderId="55" fillId="0" fontId="35" numFmtId="0" xfId="0" applyBorder="1" applyFont="1"/>
    <xf borderId="56" fillId="0" fontId="36" numFmtId="0" xfId="0" applyAlignment="1" applyBorder="1" applyFont="1">
      <alignment horizontal="center" readingOrder="0"/>
    </xf>
    <xf borderId="57" fillId="0" fontId="7" numFmtId="0" xfId="0" applyBorder="1" applyFont="1"/>
    <xf borderId="58" fillId="0" fontId="7" numFmtId="0" xfId="0" applyBorder="1" applyFont="1"/>
    <xf borderId="46" fillId="0" fontId="37" numFmtId="0" xfId="0" applyAlignment="1" applyBorder="1" applyFont="1">
      <alignment horizontal="center" readingOrder="0"/>
    </xf>
    <xf borderId="19" fillId="2" fontId="6" numFmtId="0" xfId="0" applyAlignment="1" applyBorder="1" applyFont="1">
      <alignment horizontal="center" readingOrder="0"/>
    </xf>
    <xf borderId="59" fillId="0" fontId="38" numFmtId="0" xfId="0" applyAlignment="1" applyBorder="1" applyFont="1">
      <alignment horizontal="center" readingOrder="0"/>
    </xf>
    <xf borderId="60" fillId="0" fontId="7" numFmtId="0" xfId="0" applyBorder="1" applyFont="1"/>
    <xf borderId="61" fillId="2" fontId="6" numFmtId="0" xfId="0" applyAlignment="1" applyBorder="1" applyFont="1">
      <alignment horizontal="center" readingOrder="0"/>
    </xf>
    <xf borderId="62" fillId="0" fontId="7" numFmtId="0" xfId="0" applyBorder="1" applyFont="1"/>
    <xf borderId="54" fillId="0" fontId="39" numFmtId="0" xfId="0" applyAlignment="1" applyBorder="1" applyFont="1">
      <alignment horizontal="center" readingOrder="0"/>
    </xf>
    <xf borderId="55"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0</xdr:row>
      <xdr:rowOff>0</xdr:rowOff>
    </xdr:from>
    <xdr:ext cx="6934200" cy="765810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cNB1TX6KhjnUZGyToNZSvRkFStPIaHQiXDiCZ5NVjc8/edi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cNB1TX6KhjnUZGyToNZSvRkFStPIaHQiXDiCZ5NVjc8/ed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4.88"/>
  </cols>
  <sheetData>
    <row r="1">
      <c r="A1" s="1" t="s">
        <v>0</v>
      </c>
    </row>
    <row r="3">
      <c r="A3" s="2" t="s">
        <v>1</v>
      </c>
    </row>
    <row r="4">
      <c r="A4" s="3" t="s">
        <v>2</v>
      </c>
    </row>
    <row r="5">
      <c r="A5" s="4"/>
    </row>
    <row r="6">
      <c r="A6" s="3" t="s">
        <v>3</v>
      </c>
    </row>
    <row r="7">
      <c r="A7" s="4"/>
    </row>
    <row r="8">
      <c r="A8" s="3" t="s">
        <v>4</v>
      </c>
    </row>
    <row r="10">
      <c r="A10" s="1" t="s">
        <v>5</v>
      </c>
    </row>
    <row r="11">
      <c r="A11" s="1" t="s">
        <v>6</v>
      </c>
    </row>
    <row r="12">
      <c r="A12" s="1" t="s">
        <v>7</v>
      </c>
    </row>
    <row r="13">
      <c r="A13" s="1" t="s">
        <v>8</v>
      </c>
    </row>
    <row r="14">
      <c r="A14" s="1" t="s">
        <v>9</v>
      </c>
    </row>
    <row r="16">
      <c r="A16" s="5" t="s">
        <v>10</v>
      </c>
      <c r="B16" s="6"/>
      <c r="C16" s="6"/>
      <c r="D16" s="6"/>
      <c r="E16" s="7"/>
    </row>
    <row r="17">
      <c r="A17" s="8" t="s">
        <v>11</v>
      </c>
      <c r="B17" s="9" t="s">
        <v>12</v>
      </c>
      <c r="C17" s="10"/>
      <c r="D17" s="11"/>
      <c r="E17" s="12" t="s">
        <v>13</v>
      </c>
    </row>
    <row r="18">
      <c r="A18" s="8" t="s">
        <v>14</v>
      </c>
      <c r="B18" s="13">
        <v>300.0</v>
      </c>
      <c r="C18" s="1">
        <v>-300.0</v>
      </c>
      <c r="D18" s="14" t="str">
        <f>HYPERLINK("https://c2.3gokushi.jp/map.php?x="&amp;B18&amp;"&amp;y="&amp;C18,"MAP")</f>
        <v>MAP</v>
      </c>
      <c r="E18" s="15"/>
    </row>
    <row r="19">
      <c r="A19" s="8" t="s">
        <v>15</v>
      </c>
      <c r="B19" s="16" t="str">
        <f>HYPERLINK("https://c2.3gokushi.jp/auto_send_troop/index.php?x=" &amp; B18 &amp;"&amp;y=" &amp; C18,"自動出兵ｼｮｰﾄｶｯﾄ")</f>
        <v>自動出兵ｼｮｰﾄｶｯﾄ</v>
      </c>
      <c r="D19" s="17"/>
      <c r="E19" s="15"/>
    </row>
    <row r="20">
      <c r="A20" s="18"/>
      <c r="B20" s="9" t="s">
        <v>16</v>
      </c>
      <c r="C20" s="10"/>
      <c r="D20" s="11"/>
      <c r="E20" s="12" t="s">
        <v>17</v>
      </c>
    </row>
    <row r="21">
      <c r="A21" s="18"/>
      <c r="B21" s="13">
        <v>350.0</v>
      </c>
      <c r="C21" s="1">
        <v>-328.0</v>
      </c>
      <c r="D21" s="14" t="str">
        <f>HYPERLINK("https://c2.3gokushi.jp/map.php?x="&amp;B21&amp;"&amp;y="&amp;C21,"MAP")</f>
        <v>MAP</v>
      </c>
      <c r="E21" s="12" t="s">
        <v>18</v>
      </c>
    </row>
    <row r="22">
      <c r="A22" s="18"/>
      <c r="B22" s="16" t="str">
        <f>HYPERLINK("https://c2.3gokushi.jp/auto_send_troop/index.php?x=" &amp; B21 &amp;"&amp;y=" &amp; C21,"自動出兵ｼｮｰﾄｶｯﾄ")</f>
        <v>自動出兵ｼｮｰﾄｶｯﾄ</v>
      </c>
      <c r="D22" s="17"/>
      <c r="E22" s="15"/>
    </row>
    <row r="23">
      <c r="A23" s="18"/>
      <c r="B23" s="9"/>
      <c r="C23" s="10"/>
      <c r="D23" s="11"/>
      <c r="E23" s="12" t="s">
        <v>19</v>
      </c>
    </row>
    <row r="24">
      <c r="A24" s="18"/>
      <c r="B24" s="13">
        <v>400.0</v>
      </c>
      <c r="C24" s="1">
        <v>-356.0</v>
      </c>
      <c r="D24" s="14" t="str">
        <f>HYPERLINK("https://c2.3gokushi.jp/map.php?x="&amp;B24&amp;"&amp;y="&amp;C24,"MAP")</f>
        <v>MAP</v>
      </c>
      <c r="E24" s="15"/>
    </row>
    <row r="25">
      <c r="A25" s="19"/>
      <c r="B25" s="16" t="str">
        <f>HYPERLINK("https://c2.3gokushi.jp/auto_send_troop/index.php?x=" &amp; B24 &amp;"&amp;y=" &amp; C24,"自動出兵ｼｮｰﾄｶｯﾄ")</f>
        <v>自動出兵ｼｮｰﾄｶｯﾄ</v>
      </c>
      <c r="D25" s="17"/>
      <c r="E25" s="20"/>
    </row>
    <row r="26">
      <c r="A26" s="8" t="s">
        <v>20</v>
      </c>
      <c r="E26" s="15"/>
    </row>
    <row r="27">
      <c r="A27" s="8" t="s">
        <v>21</v>
      </c>
      <c r="E27" s="15"/>
    </row>
    <row r="28">
      <c r="A28" s="8" t="s">
        <v>22</v>
      </c>
      <c r="E28" s="15"/>
    </row>
    <row r="29">
      <c r="A29" s="21" t="s">
        <v>23</v>
      </c>
      <c r="B29" s="22"/>
      <c r="C29" s="22"/>
      <c r="D29" s="22"/>
      <c r="E29" s="23"/>
    </row>
    <row r="30">
      <c r="A30" s="8" t="s">
        <v>24</v>
      </c>
      <c r="E30" s="15"/>
    </row>
    <row r="31">
      <c r="A31" s="8" t="s">
        <v>25</v>
      </c>
      <c r="E31" s="15"/>
    </row>
    <row r="32">
      <c r="A32" s="8" t="s">
        <v>26</v>
      </c>
      <c r="E32" s="15"/>
    </row>
    <row r="33">
      <c r="A33" s="8" t="s">
        <v>27</v>
      </c>
      <c r="E33" s="15"/>
    </row>
    <row r="34">
      <c r="A34" s="24"/>
      <c r="B34" s="25"/>
      <c r="C34" s="25"/>
      <c r="D34" s="25"/>
      <c r="E34" s="26"/>
    </row>
  </sheetData>
  <mergeCells count="6">
    <mergeCell ref="B17:D17"/>
    <mergeCell ref="B19:D19"/>
    <mergeCell ref="B20:D20"/>
    <mergeCell ref="B22:D22"/>
    <mergeCell ref="B23:D23"/>
    <mergeCell ref="B25:D25"/>
  </mergeCells>
  <hyperlinks>
    <hyperlink display="南東大幹線＋東（下邳）" location="'南東大幹線ルート'!A1" ref="A4"/>
    <hyperlink display="南・朱雀・長沙" location="'南ルート '!A1" ref="A6"/>
    <hyperlink display="南東裏幹線" location="'南東砦隣接分岐用（裏）'!A1" ref="A8"/>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8" width="4.88"/>
    <col customWidth="1" min="9" max="9" width="9.38"/>
    <col customWidth="1" min="10" max="12" width="4.88"/>
    <col customWidth="1" min="13" max="13" width="9.38"/>
    <col customWidth="1" min="14" max="16" width="4.88"/>
    <col customWidth="1" min="17" max="17" width="9.38"/>
    <col customWidth="1" min="18" max="20" width="4.88"/>
    <col customWidth="1" min="21" max="21" width="7.63"/>
    <col customWidth="1" min="22" max="24" width="4.88"/>
    <col customWidth="1" min="25" max="27" width="7.63"/>
  </cols>
  <sheetData>
    <row r="1">
      <c r="B1" s="27" t="s">
        <v>28</v>
      </c>
      <c r="N1" s="28" t="s">
        <v>29</v>
      </c>
    </row>
    <row r="2" ht="15.0" customHeight="1">
      <c r="B2" s="29" t="s">
        <v>30</v>
      </c>
      <c r="C2" s="10"/>
      <c r="D2" s="11"/>
      <c r="E2" s="30"/>
      <c r="F2" s="30" t="s">
        <v>1</v>
      </c>
      <c r="G2" s="30"/>
      <c r="H2" s="30"/>
      <c r="I2" s="30"/>
      <c r="J2" s="30"/>
      <c r="K2" s="30"/>
      <c r="L2" s="30"/>
      <c r="M2" s="30"/>
      <c r="N2" s="30"/>
      <c r="O2" s="30"/>
      <c r="P2" s="30"/>
      <c r="Q2" s="30"/>
      <c r="R2" s="30"/>
      <c r="S2" s="30"/>
      <c r="T2" s="30"/>
      <c r="U2" s="30"/>
      <c r="V2" s="30"/>
      <c r="W2" s="30"/>
      <c r="X2" s="30"/>
      <c r="Y2" s="30"/>
      <c r="Z2" s="30"/>
      <c r="AA2" s="30"/>
    </row>
    <row r="3" ht="15.0" customHeight="1">
      <c r="B3" s="31" t="s">
        <v>31</v>
      </c>
      <c r="D3" s="17"/>
      <c r="E3" s="30"/>
      <c r="F3" s="32" t="s">
        <v>32</v>
      </c>
      <c r="G3" s="30"/>
      <c r="H3" s="30"/>
      <c r="I3" s="30"/>
      <c r="J3" s="30"/>
      <c r="K3" s="30"/>
      <c r="L3" s="30"/>
      <c r="M3" s="30"/>
      <c r="N3" s="30"/>
      <c r="O3" s="30"/>
      <c r="P3" s="30"/>
      <c r="Q3" s="30"/>
      <c r="R3" s="30"/>
      <c r="S3" s="30"/>
      <c r="T3" s="30"/>
      <c r="U3" s="30"/>
      <c r="V3" s="30"/>
      <c r="W3" s="30"/>
      <c r="X3" s="30"/>
      <c r="Y3" s="30"/>
      <c r="Z3" s="30"/>
      <c r="AA3" s="30"/>
    </row>
    <row r="4" ht="15.0" customHeight="1">
      <c r="B4" s="33" t="s">
        <v>33</v>
      </c>
      <c r="C4" s="34" t="s">
        <v>34</v>
      </c>
      <c r="D4" s="35"/>
      <c r="F4" s="36"/>
    </row>
    <row r="5" ht="15.0" customHeight="1">
      <c r="A5" s="1" t="s">
        <v>11</v>
      </c>
      <c r="B5" s="9" t="s">
        <v>35</v>
      </c>
      <c r="C5" s="10"/>
      <c r="D5" s="11"/>
      <c r="E5" s="37"/>
      <c r="F5" s="32" t="s">
        <v>3</v>
      </c>
      <c r="G5" s="37"/>
      <c r="H5" s="37"/>
      <c r="I5" s="37"/>
      <c r="J5" s="37"/>
      <c r="K5" s="37"/>
      <c r="L5" s="37"/>
      <c r="M5" s="37"/>
      <c r="N5" s="37"/>
      <c r="O5" s="37"/>
      <c r="P5" s="37"/>
      <c r="Q5" s="37"/>
      <c r="R5" s="37"/>
      <c r="S5" s="37"/>
      <c r="T5" s="37"/>
      <c r="U5" s="37"/>
      <c r="V5" s="37"/>
      <c r="W5" s="37"/>
      <c r="X5" s="37"/>
      <c r="Y5" s="37"/>
      <c r="Z5" s="37"/>
      <c r="AA5" s="37"/>
    </row>
    <row r="6" ht="15.0" customHeight="1">
      <c r="A6" s="1" t="s">
        <v>14</v>
      </c>
      <c r="B6" s="13">
        <v>300.0</v>
      </c>
      <c r="C6" s="1">
        <v>-300.0</v>
      </c>
      <c r="D6" s="14" t="str">
        <f>HYPERLINK("https://c2.3gokushi.jp/map.php?x="&amp;B6&amp;"&amp;y="&amp;C6,"MAP")</f>
        <v>MAP</v>
      </c>
      <c r="F6" s="36"/>
      <c r="G6" s="38"/>
      <c r="J6" s="39" t="s">
        <v>36</v>
      </c>
    </row>
    <row r="7" ht="15.0" customHeight="1">
      <c r="A7" s="1" t="s">
        <v>15</v>
      </c>
      <c r="B7" s="16" t="str">
        <f>HYPERLINK("https://c2.3gokushi.jp/auto_send_troop/index.php?x=" &amp; B6 &amp;"&amp;y=" &amp; C6,"自動出兵ｼｮｰﾄｶｯﾄ")</f>
        <v>自動出兵ｼｮｰﾄｶｯﾄ</v>
      </c>
      <c r="D7" s="17"/>
      <c r="E7" s="30"/>
      <c r="F7" s="32" t="s">
        <v>4</v>
      </c>
      <c r="G7" s="38"/>
      <c r="H7" s="30"/>
      <c r="I7" s="30"/>
      <c r="J7" s="40"/>
      <c r="K7" s="40"/>
      <c r="L7" s="40"/>
      <c r="M7" s="40"/>
      <c r="N7" s="40"/>
      <c r="O7" s="40"/>
      <c r="P7" s="40"/>
      <c r="Q7" s="40"/>
      <c r="R7" s="40"/>
      <c r="S7" s="40"/>
      <c r="T7" s="40"/>
      <c r="U7" s="40"/>
      <c r="V7" s="40"/>
      <c r="W7" s="40"/>
      <c r="X7" s="40"/>
      <c r="Y7" s="40"/>
      <c r="Z7" s="40"/>
      <c r="AA7" s="40"/>
    </row>
    <row r="8" ht="15.0" customHeight="1">
      <c r="B8" s="9" t="s">
        <v>35</v>
      </c>
      <c r="C8" s="10"/>
      <c r="D8" s="11"/>
      <c r="E8" s="41"/>
      <c r="F8" s="38"/>
      <c r="G8" s="38"/>
      <c r="H8" s="41"/>
      <c r="I8" s="41"/>
      <c r="J8" s="42"/>
      <c r="K8" s="42"/>
      <c r="L8" s="42"/>
      <c r="M8" s="42"/>
      <c r="N8" s="42"/>
      <c r="O8" s="42"/>
      <c r="P8" s="42"/>
      <c r="Q8" s="42"/>
      <c r="R8" s="42"/>
      <c r="S8" s="42"/>
      <c r="T8" s="42"/>
      <c r="U8" s="42"/>
      <c r="V8" s="42"/>
      <c r="W8" s="42"/>
      <c r="X8" s="42"/>
      <c r="Y8" s="42"/>
      <c r="Z8" s="42"/>
      <c r="AA8" s="42"/>
    </row>
    <row r="9" ht="15.0" customHeight="1">
      <c r="B9" s="13">
        <v>350.0</v>
      </c>
      <c r="C9" s="1">
        <v>-328.0</v>
      </c>
      <c r="D9" s="14" t="str">
        <f>HYPERLINK("https://c2.3gokushi.jp/map.php?x="&amp;B9&amp;"&amp;y="&amp;C9,"MAP")</f>
        <v>MAP</v>
      </c>
      <c r="F9" s="38"/>
      <c r="G9" s="38"/>
      <c r="J9" s="43" t="s">
        <v>37</v>
      </c>
      <c r="K9" s="44"/>
      <c r="L9" s="44"/>
      <c r="M9" s="44"/>
      <c r="N9" s="44"/>
      <c r="O9" s="44"/>
      <c r="P9" s="44"/>
      <c r="Q9" s="44"/>
      <c r="R9" s="44"/>
      <c r="S9" s="44"/>
      <c r="T9" s="44"/>
      <c r="U9" s="44"/>
      <c r="V9" s="44"/>
      <c r="W9" s="44"/>
      <c r="X9" s="44"/>
      <c r="Y9" s="44"/>
      <c r="Z9" s="44"/>
      <c r="AA9" s="44"/>
    </row>
    <row r="10" ht="15.0" customHeight="1">
      <c r="B10" s="16" t="str">
        <f>HYPERLINK("https://c2.3gokushi.jp/auto_send_troop/index.php?x=" &amp; B9 &amp;"&amp;y=" &amp; C9,"自動出兵ｼｮｰﾄｶｯﾄ")</f>
        <v>自動出兵ｼｮｰﾄｶｯﾄ</v>
      </c>
      <c r="D10" s="17"/>
      <c r="E10" s="30"/>
      <c r="F10" s="38"/>
      <c r="G10" s="38"/>
      <c r="H10" s="30"/>
      <c r="I10" s="30"/>
      <c r="J10" s="45" t="s">
        <v>38</v>
      </c>
      <c r="K10" s="40"/>
      <c r="L10" s="40"/>
      <c r="M10" s="40"/>
      <c r="N10" s="40"/>
      <c r="O10" s="40"/>
      <c r="P10" s="40"/>
      <c r="Q10" s="40"/>
      <c r="R10" s="40"/>
      <c r="S10" s="40"/>
      <c r="T10" s="40"/>
      <c r="U10" s="40"/>
      <c r="V10" s="40"/>
      <c r="W10" s="40"/>
      <c r="X10" s="40"/>
      <c r="Y10" s="40"/>
      <c r="Z10" s="40"/>
      <c r="AA10" s="40"/>
    </row>
    <row r="11" ht="15.0" customHeight="1">
      <c r="B11" s="9"/>
      <c r="C11" s="10"/>
      <c r="D11" s="11"/>
      <c r="E11" s="41"/>
      <c r="H11" s="41"/>
      <c r="I11" s="41"/>
      <c r="J11" s="42"/>
      <c r="K11" s="42"/>
      <c r="L11" s="42"/>
      <c r="M11" s="42"/>
      <c r="N11" s="42"/>
      <c r="O11" s="42"/>
      <c r="P11" s="42"/>
      <c r="Q11" s="42"/>
      <c r="R11" s="42"/>
      <c r="S11" s="42"/>
      <c r="T11" s="42"/>
      <c r="U11" s="42"/>
      <c r="V11" s="42"/>
      <c r="W11" s="42"/>
      <c r="X11" s="42"/>
      <c r="Y11" s="42"/>
      <c r="Z11" s="42"/>
      <c r="AA11" s="42"/>
    </row>
    <row r="12" ht="15.0" customHeight="1">
      <c r="B12" s="13">
        <v>400.0</v>
      </c>
      <c r="C12" s="1">
        <v>-356.0</v>
      </c>
      <c r="D12" s="14" t="str">
        <f>HYPERLINK("https://c2.3gokushi.jp/map.php?x="&amp;B12&amp;"&amp;y="&amp;C12,"MAP")</f>
        <v>MAP</v>
      </c>
      <c r="E12" s="46"/>
      <c r="F12" s="46"/>
      <c r="G12" s="46"/>
      <c r="H12" s="46"/>
      <c r="I12" s="46"/>
      <c r="J12" s="44"/>
      <c r="K12" s="44"/>
      <c r="L12" s="44"/>
      <c r="M12" s="44"/>
      <c r="N12" s="44"/>
      <c r="O12" s="44"/>
      <c r="P12" s="44"/>
      <c r="Q12" s="44"/>
      <c r="R12" s="44"/>
      <c r="S12" s="44"/>
      <c r="T12" s="44"/>
      <c r="U12" s="44"/>
      <c r="V12" s="44"/>
      <c r="W12" s="44"/>
      <c r="X12" s="44"/>
      <c r="Y12" s="44"/>
      <c r="Z12" s="44"/>
      <c r="AA12" s="44"/>
    </row>
    <row r="13" ht="15.0" customHeight="1">
      <c r="B13" s="16" t="str">
        <f>HYPERLINK("https://c2.3gokushi.jp/auto_send_troop/index.php?x=" &amp; B12 &amp;"&amp;y=" &amp; C12,"自動出兵ｼｮｰﾄｶｯﾄ")</f>
        <v>自動出兵ｼｮｰﾄｶｯﾄ</v>
      </c>
      <c r="D13" s="17"/>
      <c r="E13" s="47"/>
      <c r="F13" s="46"/>
      <c r="G13" s="48" t="s">
        <v>39</v>
      </c>
      <c r="H13" s="47"/>
      <c r="I13" s="47"/>
      <c r="J13" s="49" t="s">
        <v>40</v>
      </c>
      <c r="K13" s="40"/>
      <c r="L13" s="40"/>
      <c r="M13" s="40"/>
      <c r="N13" s="44"/>
      <c r="O13" s="40"/>
      <c r="P13" s="40"/>
      <c r="Q13" s="40"/>
      <c r="R13" s="40"/>
      <c r="S13" s="40"/>
      <c r="T13" s="40"/>
      <c r="U13" s="40"/>
      <c r="V13" s="40"/>
      <c r="W13" s="40"/>
      <c r="X13" s="40"/>
      <c r="Y13" s="40"/>
      <c r="Z13" s="40"/>
      <c r="AA13" s="40"/>
    </row>
    <row r="14" ht="15.0" customHeight="1">
      <c r="B14" s="9"/>
      <c r="C14" s="10"/>
      <c r="D14" s="11"/>
      <c r="E14" s="47" t="s">
        <v>41</v>
      </c>
      <c r="F14" s="47" t="s">
        <v>41</v>
      </c>
      <c r="G14" s="47" t="s">
        <v>41</v>
      </c>
      <c r="H14" s="47" t="s">
        <v>41</v>
      </c>
      <c r="I14" s="47" t="s">
        <v>41</v>
      </c>
      <c r="J14" s="50"/>
      <c r="K14" s="51"/>
      <c r="L14" s="52"/>
      <c r="M14" s="49" t="s">
        <v>11</v>
      </c>
      <c r="N14" s="44"/>
      <c r="O14" s="53"/>
      <c r="P14" s="53"/>
      <c r="Q14" s="53"/>
      <c r="R14" s="54"/>
      <c r="S14" s="53"/>
      <c r="T14" s="53"/>
      <c r="U14" s="54"/>
      <c r="V14" s="54"/>
      <c r="W14" s="53"/>
      <c r="X14" s="53"/>
      <c r="Y14" s="53"/>
      <c r="Z14" s="53"/>
      <c r="AA14" s="53"/>
    </row>
    <row r="15" ht="15.0" customHeight="1">
      <c r="B15" s="13">
        <v>450.0</v>
      </c>
      <c r="C15" s="1">
        <v>-384.0</v>
      </c>
      <c r="D15" s="14" t="str">
        <f>HYPERLINK("https://c2.3gokushi.jp/map.php?x="&amp;B15&amp;"&amp;y="&amp;C15,"MAP")</f>
        <v>MAP</v>
      </c>
      <c r="E15" s="55" t="s">
        <v>42</v>
      </c>
      <c r="F15" s="56"/>
      <c r="G15" s="56"/>
      <c r="H15" s="56"/>
      <c r="J15" s="57">
        <v>450.0</v>
      </c>
      <c r="K15" s="49">
        <v>-384.0</v>
      </c>
      <c r="L15" s="58" t="str">
        <f>HYPERLINK("https://c2.3gokushi.jp/map.php?x="&amp;J15&amp;"&amp;y="&amp;K15,"MAP")</f>
        <v>MAP</v>
      </c>
      <c r="M15" s="49" t="s">
        <v>14</v>
      </c>
      <c r="N15" s="44"/>
      <c r="O15" s="44"/>
      <c r="P15" s="44"/>
      <c r="Q15" s="44"/>
      <c r="R15" s="44"/>
      <c r="S15" s="44"/>
      <c r="T15" s="44"/>
      <c r="U15" s="44"/>
      <c r="V15" s="44"/>
      <c r="W15" s="44"/>
      <c r="X15" s="44"/>
      <c r="Y15" s="44"/>
      <c r="Z15" s="44"/>
      <c r="AA15" s="44"/>
    </row>
    <row r="16" ht="15.0" customHeight="1">
      <c r="B16" s="16" t="str">
        <f>HYPERLINK("https://c2.3gokushi.jp/auto_send_troop/index.php?x=" &amp; B15 &amp;"&amp;y=" &amp; C15,"自動出兵ｼｮｰﾄｶｯﾄ")</f>
        <v>自動出兵ｼｮｰﾄｶｯﾄ</v>
      </c>
      <c r="D16" s="17"/>
      <c r="E16" s="55" t="s">
        <v>42</v>
      </c>
      <c r="F16" s="59" t="s">
        <v>43</v>
      </c>
      <c r="G16" s="56"/>
      <c r="H16" s="55"/>
      <c r="I16" s="30"/>
      <c r="J16" s="60" t="str">
        <f>HYPERLINK("https://c2.3gokushi.jp/auto_send_troop/index.php?x=" &amp; J15 &amp;"&amp;y=" &amp; K15,"自動出兵ｼｮｰﾄｶｯﾄ")</f>
        <v>自動出兵ｼｮｰﾄｶｯﾄ</v>
      </c>
      <c r="K16" s="61"/>
      <c r="L16" s="62"/>
      <c r="M16" s="49" t="s">
        <v>15</v>
      </c>
      <c r="N16" s="44"/>
      <c r="O16" s="40"/>
      <c r="P16" s="40"/>
      <c r="Q16" s="40"/>
      <c r="R16" s="40"/>
      <c r="S16" s="40"/>
      <c r="T16" s="40"/>
      <c r="U16" s="40"/>
      <c r="V16" s="40"/>
      <c r="W16" s="40"/>
      <c r="X16" s="40"/>
      <c r="Y16" s="40"/>
      <c r="Z16" s="40"/>
      <c r="AA16" s="40"/>
    </row>
    <row r="17" ht="15.0" customHeight="1">
      <c r="B17" s="9"/>
      <c r="C17" s="10"/>
      <c r="D17" s="11"/>
      <c r="E17" s="55" t="s">
        <v>42</v>
      </c>
      <c r="F17" s="56"/>
      <c r="G17" s="56"/>
      <c r="H17" s="63"/>
      <c r="I17" s="41"/>
      <c r="J17" s="50"/>
      <c r="K17" s="51"/>
      <c r="L17" s="52"/>
      <c r="M17" s="42"/>
      <c r="N17" s="44"/>
      <c r="O17" s="42"/>
      <c r="P17" s="42"/>
      <c r="Q17" s="42"/>
      <c r="R17" s="42"/>
      <c r="S17" s="42"/>
      <c r="T17" s="42"/>
      <c r="U17" s="42"/>
      <c r="V17" s="42"/>
      <c r="W17" s="42"/>
      <c r="X17" s="42"/>
      <c r="Y17" s="42"/>
      <c r="Z17" s="42"/>
      <c r="AA17" s="42"/>
    </row>
    <row r="18" ht="15.0" customHeight="1">
      <c r="B18" s="13">
        <v>500.0</v>
      </c>
      <c r="C18" s="1">
        <v>-412.0</v>
      </c>
      <c r="D18" s="14" t="str">
        <f>HYPERLINK("https://c2.3gokushi.jp/map.php?x="&amp;B18&amp;"&amp;y="&amp;C18,"MAP")</f>
        <v>MAP</v>
      </c>
      <c r="E18" s="55" t="s">
        <v>42</v>
      </c>
      <c r="F18" s="56"/>
      <c r="G18" s="56"/>
      <c r="H18" s="56"/>
      <c r="J18" s="57">
        <v>500.0</v>
      </c>
      <c r="K18" s="49">
        <v>-345.0</v>
      </c>
      <c r="L18" s="58" t="str">
        <f>HYPERLINK("https://c2.3gokushi.jp/map.php?x="&amp;J18&amp;"&amp;y="&amp;K18,"MAP")</f>
        <v>MAP</v>
      </c>
      <c r="M18" s="44"/>
      <c r="N18" s="44"/>
      <c r="O18" s="44"/>
      <c r="P18" s="44"/>
      <c r="Q18" s="44"/>
      <c r="R18" s="44"/>
      <c r="S18" s="44"/>
      <c r="T18" s="44"/>
      <c r="U18" s="44"/>
      <c r="V18" s="44"/>
      <c r="W18" s="44"/>
      <c r="X18" s="44"/>
      <c r="Y18" s="44"/>
      <c r="Z18" s="44"/>
      <c r="AA18" s="44"/>
    </row>
    <row r="19" ht="15.0" customHeight="1">
      <c r="B19" s="16" t="str">
        <f>HYPERLINK("https://c2.3gokushi.jp/auto_send_troop/index.php?x=" &amp; B18 &amp;"&amp;y=" &amp; C18,"自動出兵ｼｮｰﾄｶｯﾄ")</f>
        <v>自動出兵ｼｮｰﾄｶｯﾄ</v>
      </c>
      <c r="D19" s="17"/>
      <c r="E19" s="55" t="s">
        <v>42</v>
      </c>
      <c r="F19" s="56"/>
      <c r="G19" s="56"/>
      <c r="H19" s="55"/>
      <c r="I19" s="30"/>
      <c r="J19" s="60" t="str">
        <f>HYPERLINK("https://c2.3gokushi.jp/auto_send_troop/index.php?x=" &amp; J18 &amp;"&amp;y=" &amp; K18,"自動出兵ｼｮｰﾄｶｯﾄ")</f>
        <v>自動出兵ｼｮｰﾄｶｯﾄ</v>
      </c>
      <c r="K19" s="61"/>
      <c r="L19" s="62"/>
      <c r="M19" s="40"/>
      <c r="N19" s="44"/>
      <c r="O19" s="40"/>
      <c r="P19" s="40"/>
      <c r="Q19" s="40"/>
      <c r="R19" s="40"/>
      <c r="S19" s="40"/>
      <c r="T19" s="40"/>
      <c r="U19" s="40"/>
      <c r="V19" s="40"/>
      <c r="W19" s="40"/>
      <c r="X19" s="40"/>
      <c r="Y19" s="40"/>
      <c r="Z19" s="40"/>
      <c r="AA19" s="40"/>
    </row>
    <row r="20" ht="15.0" customHeight="1">
      <c r="B20" s="9"/>
      <c r="C20" s="10"/>
      <c r="D20" s="11"/>
      <c r="E20" s="41"/>
      <c r="H20" s="41"/>
      <c r="I20" s="41"/>
      <c r="J20" s="50"/>
      <c r="K20" s="51"/>
      <c r="L20" s="52"/>
      <c r="M20" s="42"/>
      <c r="N20" s="44"/>
      <c r="O20" s="42"/>
      <c r="P20" s="42"/>
      <c r="Q20" s="42"/>
      <c r="R20" s="42"/>
      <c r="S20" s="42"/>
      <c r="T20" s="42"/>
      <c r="U20" s="42"/>
      <c r="V20" s="42"/>
      <c r="W20" s="42"/>
      <c r="X20" s="42"/>
      <c r="Y20" s="42"/>
      <c r="Z20" s="42"/>
      <c r="AA20" s="42"/>
    </row>
    <row r="21" ht="15.0" customHeight="1">
      <c r="B21" s="13">
        <v>550.0</v>
      </c>
      <c r="C21" s="1">
        <v>-440.0</v>
      </c>
      <c r="D21" s="14" t="str">
        <f>HYPERLINK("https://c2.3gokushi.jp/map.php?x="&amp;B21&amp;"&amp;y="&amp;C21,"MAP")</f>
        <v>MAP</v>
      </c>
      <c r="J21" s="57">
        <v>550.0</v>
      </c>
      <c r="K21" s="49">
        <v>-305.0</v>
      </c>
      <c r="L21" s="58" t="str">
        <f>HYPERLINK("https://c2.3gokushi.jp/map.php?x="&amp;J21&amp;"&amp;y="&amp;K21,"MAP")</f>
        <v>MAP</v>
      </c>
      <c r="M21" s="44"/>
      <c r="N21" s="44"/>
      <c r="O21" s="44"/>
      <c r="P21" s="44"/>
      <c r="Q21" s="44"/>
      <c r="R21" s="44"/>
      <c r="S21" s="44"/>
      <c r="T21" s="44"/>
      <c r="U21" s="44"/>
      <c r="V21" s="44"/>
      <c r="W21" s="44"/>
      <c r="X21" s="44"/>
      <c r="Y21" s="44"/>
      <c r="Z21" s="44"/>
      <c r="AA21" s="44"/>
    </row>
    <row r="22" ht="15.0" customHeight="1">
      <c r="B22" s="16" t="str">
        <f>HYPERLINK("https://c2.3gokushi.jp/auto_send_troop/index.php?x=" &amp; B21 &amp;"&amp;y=" &amp; C21,"自動出兵ｼｮｰﾄｶｯﾄ")</f>
        <v>自動出兵ｼｮｰﾄｶｯﾄ</v>
      </c>
      <c r="D22" s="17"/>
      <c r="E22" s="30"/>
      <c r="H22" s="30"/>
      <c r="I22" s="30"/>
      <c r="J22" s="60" t="str">
        <f>HYPERLINK("https://c2.3gokushi.jp/auto_send_troop/index.php?x=" &amp; J21 &amp;"&amp;y=" &amp; K21,"自動出兵ｼｮｰﾄｶｯﾄ")</f>
        <v>自動出兵ｼｮｰﾄｶｯﾄ</v>
      </c>
      <c r="K22" s="61"/>
      <c r="L22" s="62"/>
      <c r="M22" s="40"/>
      <c r="N22" s="44"/>
      <c r="O22" s="40"/>
      <c r="P22" s="40"/>
      <c r="Q22" s="40"/>
      <c r="R22" s="40"/>
      <c r="S22" s="40"/>
      <c r="T22" s="40"/>
      <c r="U22" s="40"/>
      <c r="V22" s="40"/>
      <c r="W22" s="40"/>
      <c r="X22" s="40"/>
      <c r="Y22" s="40"/>
      <c r="Z22" s="40"/>
      <c r="AA22" s="40"/>
    </row>
    <row r="23" ht="15.0" customHeight="1">
      <c r="B23" s="9"/>
      <c r="C23" s="10"/>
      <c r="D23" s="11"/>
      <c r="E23" s="41"/>
      <c r="H23" s="41"/>
      <c r="I23" s="41"/>
      <c r="J23" s="50"/>
      <c r="K23" s="51"/>
      <c r="L23" s="52"/>
      <c r="M23" s="42"/>
      <c r="N23" s="44"/>
      <c r="O23" s="42"/>
      <c r="P23" s="42"/>
      <c r="Q23" s="42"/>
      <c r="R23" s="42"/>
      <c r="S23" s="42"/>
      <c r="T23" s="42"/>
      <c r="U23" s="42"/>
      <c r="V23" s="42"/>
      <c r="W23" s="42"/>
      <c r="X23" s="42"/>
      <c r="Y23" s="42"/>
      <c r="Z23" s="42"/>
      <c r="AA23" s="42"/>
    </row>
    <row r="24" ht="15.0" customHeight="1">
      <c r="B24" s="13">
        <v>600.0</v>
      </c>
      <c r="C24" s="1">
        <v>-468.0</v>
      </c>
      <c r="D24" s="14" t="str">
        <f>HYPERLINK("https://c2.3gokushi.jp/map.php?x="&amp;B24&amp;"&amp;y="&amp;C24,"MAP")</f>
        <v>MAP</v>
      </c>
      <c r="J24" s="57">
        <v>600.0</v>
      </c>
      <c r="K24" s="49">
        <v>-265.0</v>
      </c>
      <c r="L24" s="58" t="str">
        <f>HYPERLINK("https://c2.3gokushi.jp/map.php?x="&amp;J24&amp;"&amp;y="&amp;K24,"MAP")</f>
        <v>MAP</v>
      </c>
      <c r="M24" s="44"/>
      <c r="N24" s="44"/>
      <c r="O24" s="44"/>
      <c r="P24" s="44"/>
      <c r="Q24" s="44"/>
      <c r="R24" s="44"/>
      <c r="S24" s="44"/>
      <c r="T24" s="44"/>
      <c r="U24" s="44"/>
      <c r="V24" s="44"/>
      <c r="W24" s="44"/>
      <c r="X24" s="44"/>
      <c r="Y24" s="44"/>
      <c r="Z24" s="44"/>
      <c r="AA24" s="44"/>
    </row>
    <row r="25" ht="15.0" customHeight="1">
      <c r="B25" s="16" t="str">
        <f>HYPERLINK("https://c2.3gokushi.jp/auto_send_troop/index.php?x=" &amp; B24 &amp;"&amp;y=" &amp; C24,"自動出兵ｼｮｰﾄｶｯﾄ")</f>
        <v>自動出兵ｼｮｰﾄｶｯﾄ</v>
      </c>
      <c r="D25" s="17"/>
      <c r="E25" s="30"/>
      <c r="F25" s="1" t="s">
        <v>44</v>
      </c>
      <c r="H25" s="30"/>
      <c r="I25" s="30"/>
      <c r="J25" s="60" t="str">
        <f>HYPERLINK("https://c2.3gokushi.jp/auto_send_troop/index.php?x=" &amp; J24 &amp;"&amp;y=" &amp; K24,"自動出兵ｼｮｰﾄｶｯﾄ")</f>
        <v>自動出兵ｼｮｰﾄｶｯﾄ</v>
      </c>
      <c r="K25" s="61"/>
      <c r="L25" s="62"/>
      <c r="M25" s="40"/>
      <c r="N25" s="44"/>
      <c r="O25" s="40"/>
      <c r="P25" s="40"/>
      <c r="Q25" s="40"/>
      <c r="R25" s="40"/>
      <c r="S25" s="40"/>
      <c r="T25" s="40"/>
      <c r="U25" s="40"/>
      <c r="V25" s="40"/>
      <c r="W25" s="40"/>
      <c r="X25" s="40"/>
      <c r="Y25" s="40"/>
      <c r="Z25" s="40"/>
      <c r="AA25" s="40"/>
    </row>
    <row r="26" ht="15.0" customHeight="1">
      <c r="B26" s="9"/>
      <c r="C26" s="10"/>
      <c r="D26" s="11"/>
      <c r="E26" s="30" t="s">
        <v>41</v>
      </c>
      <c r="F26" s="64" t="s">
        <v>45</v>
      </c>
      <c r="G26" s="65"/>
      <c r="H26" s="66"/>
      <c r="J26" s="50"/>
      <c r="K26" s="51"/>
      <c r="L26" s="52"/>
      <c r="M26" s="44"/>
      <c r="N26" s="44"/>
      <c r="O26" s="44"/>
      <c r="P26" s="44"/>
      <c r="Q26" s="44"/>
      <c r="R26" s="44"/>
      <c r="S26" s="44"/>
      <c r="T26" s="44"/>
      <c r="U26" s="44"/>
      <c r="V26" s="44"/>
      <c r="W26" s="44"/>
      <c r="X26" s="44"/>
      <c r="Y26" s="44"/>
      <c r="Z26" s="44"/>
      <c r="AA26" s="44"/>
    </row>
    <row r="27" ht="15.0" customHeight="1">
      <c r="B27" s="13">
        <v>600.0</v>
      </c>
      <c r="C27" s="1">
        <v>-468.0</v>
      </c>
      <c r="D27" s="14" t="str">
        <f>HYPERLINK("https://c2.3gokushi.jp/map.php?x="&amp;B27&amp;"&amp;y="&amp;C27,"MAP")</f>
        <v>MAP</v>
      </c>
      <c r="F27" s="67">
        <v>600.0</v>
      </c>
      <c r="G27" s="1">
        <v>-468.0</v>
      </c>
      <c r="H27" s="68" t="str">
        <f>HYPERLINK("https://c2.3gokushi.jp/map.php?x="&amp;F27&amp;"&amp;y="&amp;G27,"MAP")</f>
        <v>MAP</v>
      </c>
      <c r="J27" s="57">
        <v>650.0</v>
      </c>
      <c r="K27" s="49">
        <v>-225.0</v>
      </c>
      <c r="L27" s="58" t="str">
        <f>HYPERLINK("https://c2.3gokushi.jp/map.php?x="&amp;J27&amp;"&amp;y="&amp;K27,"MAP")</f>
        <v>MAP</v>
      </c>
      <c r="M27" s="44"/>
      <c r="N27" s="44"/>
      <c r="O27" s="44"/>
      <c r="P27" s="44"/>
      <c r="Q27" s="44"/>
      <c r="R27" s="44"/>
      <c r="S27" s="44"/>
      <c r="T27" s="44"/>
      <c r="U27" s="44"/>
      <c r="V27" s="44"/>
      <c r="W27" s="44"/>
      <c r="X27" s="44"/>
      <c r="Y27" s="44"/>
      <c r="Z27" s="44"/>
      <c r="AA27" s="44"/>
    </row>
    <row r="28" ht="15.0" customHeight="1">
      <c r="B28" s="16" t="str">
        <f>HYPERLINK("https://c2.3gokushi.jp/auto_send_troop/index.php?x=" &amp; B27 &amp;"&amp;y=" &amp; C27,"自動出兵ｼｮｰﾄｶｯﾄ")</f>
        <v>自動出兵ｼｮｰﾄｶｯﾄ</v>
      </c>
      <c r="D28" s="17"/>
      <c r="E28" s="1"/>
      <c r="F28" s="69" t="str">
        <f>HYPERLINK("https://c2.3gokushi.jp/auto_send_troop/index.php?x=" &amp; F27 &amp;"&amp;y=" &amp; G27,"自動出兵ｼｮｰﾄｶｯﾄ")</f>
        <v>自動出兵ｼｮｰﾄｶｯﾄ</v>
      </c>
      <c r="G28" s="70"/>
      <c r="H28" s="71"/>
      <c r="I28" s="1"/>
      <c r="J28" s="60" t="str">
        <f>HYPERLINK("https://c2.3gokushi.jp/auto_send_troop/index.php?x=" &amp; J27 &amp;"&amp;y=" &amp; K27,"自動出兵ｼｮｰﾄｶｯﾄ")</f>
        <v>自動出兵ｼｮｰﾄｶｯﾄ</v>
      </c>
      <c r="K28" s="61"/>
      <c r="L28" s="62"/>
      <c r="M28" s="49"/>
      <c r="N28" s="44"/>
      <c r="O28" s="49"/>
      <c r="P28" s="49"/>
      <c r="Q28" s="49"/>
      <c r="R28" s="49"/>
      <c r="S28" s="49"/>
      <c r="T28" s="49"/>
      <c r="U28" s="49"/>
      <c r="V28" s="49"/>
      <c r="W28" s="49"/>
      <c r="X28" s="49"/>
      <c r="Y28" s="49"/>
      <c r="Z28" s="49"/>
      <c r="AA28" s="49"/>
    </row>
    <row r="29" ht="15.0" customHeight="1">
      <c r="B29" s="9"/>
      <c r="C29" s="10"/>
      <c r="D29" s="11"/>
      <c r="F29" s="64"/>
      <c r="G29" s="65"/>
      <c r="H29" s="66"/>
      <c r="J29" s="50"/>
      <c r="K29" s="51"/>
      <c r="L29" s="52"/>
      <c r="M29" s="44"/>
      <c r="N29" s="44"/>
      <c r="O29" s="44"/>
      <c r="P29" s="44"/>
      <c r="Q29" s="44"/>
      <c r="R29" s="44"/>
      <c r="S29" s="44"/>
      <c r="T29" s="44"/>
      <c r="U29" s="44"/>
      <c r="V29" s="44"/>
      <c r="W29" s="44"/>
      <c r="X29" s="44"/>
      <c r="Y29" s="44"/>
      <c r="Z29" s="44"/>
      <c r="AA29" s="44"/>
    </row>
    <row r="30" ht="15.0" customHeight="1">
      <c r="B30" s="13">
        <v>650.0</v>
      </c>
      <c r="C30" s="1">
        <v>-496.0</v>
      </c>
      <c r="D30" s="14" t="str">
        <f>HYPERLINK("https://c2.3gokushi.jp/map.php?x="&amp;B30&amp;"&amp;y="&amp;C30,"MAP")</f>
        <v>MAP</v>
      </c>
      <c r="F30" s="67">
        <v>600.0</v>
      </c>
      <c r="G30" s="1">
        <v>-505.0</v>
      </c>
      <c r="H30" s="68" t="str">
        <f>HYPERLINK("https://c2.3gokushi.jp/map.php?x="&amp;F30&amp;"&amp;y="&amp;G30,"MAP")</f>
        <v>MAP</v>
      </c>
      <c r="I30" s="1" t="s">
        <v>46</v>
      </c>
      <c r="J30" s="57">
        <v>700.0</v>
      </c>
      <c r="K30" s="49">
        <v>-185.0</v>
      </c>
      <c r="L30" s="58" t="str">
        <f>HYPERLINK("https://c2.3gokushi.jp/map.php?x="&amp;J30&amp;"&amp;y="&amp;K30,"MAP")</f>
        <v>MAP</v>
      </c>
      <c r="M30" s="44"/>
      <c r="N30" s="44"/>
      <c r="O30" s="44"/>
      <c r="P30" s="44"/>
      <c r="Q30" s="44"/>
      <c r="R30" s="44"/>
      <c r="S30" s="44"/>
      <c r="T30" s="44"/>
      <c r="U30" s="44"/>
      <c r="V30" s="44"/>
      <c r="W30" s="44"/>
      <c r="X30" s="44"/>
      <c r="Y30" s="44"/>
      <c r="Z30" s="44"/>
      <c r="AA30" s="44"/>
    </row>
    <row r="31" ht="15.0" customHeight="1">
      <c r="B31" s="16" t="str">
        <f>HYPERLINK("https://c2.3gokushi.jp/auto_send_troop/index.php?x=" &amp; B30 &amp;"&amp;y=" &amp; C30,"自動出兵ｼｮｰﾄｶｯﾄ")</f>
        <v>自動出兵ｼｮｰﾄｶｯﾄ</v>
      </c>
      <c r="D31" s="17"/>
      <c r="F31" s="69" t="str">
        <f>HYPERLINK("https://c2.3gokushi.jp/auto_send_troop/index.php?x=" &amp; F30 &amp;"&amp;y=" &amp; G30,"自動出兵ｼｮｰﾄｶｯﾄ")</f>
        <v>自動出兵ｼｮｰﾄｶｯﾄ</v>
      </c>
      <c r="G31" s="70"/>
      <c r="H31" s="71"/>
      <c r="I31" s="1" t="s">
        <v>47</v>
      </c>
      <c r="J31" s="60" t="str">
        <f>HYPERLINK("https://c2.3gokushi.jp/auto_send_troop/index.php?x=" &amp; J30 &amp;"&amp;y=" &amp; K30,"自動出兵ｼｮｰﾄｶｯﾄ")</f>
        <v>自動出兵ｼｮｰﾄｶｯﾄ</v>
      </c>
      <c r="K31" s="61"/>
      <c r="L31" s="62"/>
      <c r="M31" s="44"/>
      <c r="N31" s="44"/>
      <c r="O31" s="44"/>
      <c r="P31" s="44"/>
      <c r="Q31" s="44"/>
      <c r="R31" s="44"/>
      <c r="S31" s="44"/>
      <c r="T31" s="44"/>
      <c r="U31" s="44"/>
      <c r="V31" s="44"/>
      <c r="W31" s="44"/>
      <c r="X31" s="44"/>
      <c r="Y31" s="44"/>
      <c r="Z31" s="44"/>
      <c r="AA31" s="44"/>
    </row>
    <row r="32" ht="15.0" customHeight="1">
      <c r="B32" s="9"/>
      <c r="C32" s="10"/>
      <c r="D32" s="11"/>
      <c r="E32" s="30"/>
      <c r="H32" s="1"/>
      <c r="I32" s="1"/>
      <c r="J32" s="50"/>
      <c r="K32" s="51"/>
      <c r="L32" s="52"/>
      <c r="M32" s="49"/>
      <c r="N32" s="49"/>
      <c r="O32" s="49"/>
      <c r="P32" s="49"/>
      <c r="Q32" s="49"/>
      <c r="R32" s="49"/>
      <c r="S32" s="49"/>
      <c r="T32" s="49"/>
      <c r="U32" s="49"/>
      <c r="V32" s="49"/>
      <c r="W32" s="49"/>
      <c r="X32" s="49"/>
      <c r="Y32" s="49"/>
      <c r="Z32" s="49"/>
      <c r="AA32" s="49"/>
    </row>
    <row r="33" ht="15.0" customHeight="1">
      <c r="B33" s="13">
        <v>700.0</v>
      </c>
      <c r="C33" s="1">
        <v>-536.0</v>
      </c>
      <c r="D33" s="14" t="str">
        <f>HYPERLINK("https://c2.3gokushi.jp/map.php?x="&amp;B33&amp;"&amp;y="&amp;C33,"MAP")</f>
        <v>MAP</v>
      </c>
      <c r="J33" s="57">
        <v>750.0</v>
      </c>
      <c r="K33" s="49">
        <v>-145.0</v>
      </c>
      <c r="L33" s="58" t="str">
        <f>HYPERLINK("https://c2.3gokushi.jp/map.php?x="&amp;J33&amp;"&amp;y="&amp;K33,"MAP")</f>
        <v>MAP</v>
      </c>
      <c r="M33" s="44"/>
      <c r="N33" s="54" t="s">
        <v>48</v>
      </c>
      <c r="O33" s="44"/>
      <c r="P33" s="44"/>
      <c r="Q33" s="44"/>
      <c r="R33" s="44"/>
      <c r="S33" s="44"/>
      <c r="T33" s="44"/>
      <c r="U33" s="44"/>
      <c r="V33" s="44"/>
      <c r="W33" s="44"/>
      <c r="X33" s="44"/>
      <c r="Y33" s="44"/>
      <c r="Z33" s="44"/>
      <c r="AA33" s="44"/>
    </row>
    <row r="34" ht="15.0" customHeight="1">
      <c r="B34" s="16" t="str">
        <f>HYPERLINK("https://c2.3gokushi.jp/auto_send_troop/index.php?x=" &amp; B33 &amp;"&amp;y=" &amp; C33,"自動出兵ｼｮｰﾄｶｯﾄ")</f>
        <v>自動出兵ｼｮｰﾄｶｯﾄ</v>
      </c>
      <c r="D34" s="17"/>
      <c r="J34" s="60" t="str">
        <f>HYPERLINK("https://c2.3gokushi.jp/auto_send_troop/index.php?x=" &amp; J33 &amp;"&amp;y=" &amp; K33,"自動出兵ｼｮｰﾄｶｯﾄ")</f>
        <v>自動出兵ｼｮｰﾄｶｯﾄ</v>
      </c>
      <c r="K34" s="61"/>
      <c r="L34" s="62"/>
      <c r="M34" s="44"/>
      <c r="N34" s="54" t="s">
        <v>49</v>
      </c>
      <c r="O34" s="44"/>
      <c r="P34" s="44"/>
      <c r="Q34" s="40"/>
      <c r="R34" s="44"/>
      <c r="S34" s="44"/>
      <c r="T34" s="44"/>
      <c r="U34" s="44"/>
      <c r="V34" s="44"/>
      <c r="W34" s="44"/>
      <c r="X34" s="44"/>
      <c r="Y34" s="44"/>
      <c r="Z34" s="44"/>
      <c r="AA34" s="44"/>
    </row>
    <row r="35" ht="15.0" customHeight="1">
      <c r="B35" s="9"/>
      <c r="C35" s="10"/>
      <c r="D35" s="11"/>
      <c r="F35" s="1"/>
      <c r="G35" s="1"/>
      <c r="J35" s="50"/>
      <c r="K35" s="51"/>
      <c r="L35" s="52"/>
      <c r="M35" s="40" t="s">
        <v>41</v>
      </c>
      <c r="N35" s="50"/>
      <c r="O35" s="51"/>
      <c r="P35" s="52"/>
      <c r="Q35" s="49" t="s">
        <v>11</v>
      </c>
      <c r="R35" s="44"/>
      <c r="S35" s="44"/>
      <c r="T35" s="44"/>
      <c r="U35" s="44"/>
      <c r="V35" s="44"/>
      <c r="W35" s="44"/>
      <c r="X35" s="44"/>
      <c r="Y35" s="44"/>
      <c r="Z35" s="44"/>
      <c r="AA35" s="44"/>
    </row>
    <row r="36" ht="15.0" customHeight="1">
      <c r="B36" s="13">
        <v>750.0</v>
      </c>
      <c r="C36" s="1">
        <v>-576.0</v>
      </c>
      <c r="D36" s="14" t="str">
        <f>HYPERLINK("https://c2.3gokushi.jp/map.php?x="&amp;B36&amp;"&amp;y="&amp;C36,"MAP")</f>
        <v>MAP</v>
      </c>
      <c r="E36" s="1"/>
      <c r="H36" s="1"/>
      <c r="I36" s="1"/>
      <c r="J36" s="57">
        <v>800.0</v>
      </c>
      <c r="K36" s="49">
        <v>-105.0</v>
      </c>
      <c r="L36" s="58" t="str">
        <f>HYPERLINK("https://c2.3gokushi.jp/map.php?x="&amp;J36&amp;"&amp;y="&amp;K36,"MAP")</f>
        <v>MAP</v>
      </c>
      <c r="M36" s="49"/>
      <c r="N36" s="57">
        <v>800.0</v>
      </c>
      <c r="O36" s="49">
        <v>-105.0</v>
      </c>
      <c r="P36" s="58" t="str">
        <f>HYPERLINK("https://c2.3gokushi.jp/map.php?x="&amp;N36&amp;"&amp;y="&amp;O36,"MAP")</f>
        <v>MAP</v>
      </c>
      <c r="Q36" s="49" t="s">
        <v>14</v>
      </c>
      <c r="R36" s="44"/>
      <c r="S36" s="49"/>
      <c r="T36" s="49"/>
      <c r="U36" s="49"/>
      <c r="V36" s="49"/>
      <c r="W36" s="49"/>
      <c r="X36" s="49"/>
      <c r="Y36" s="49"/>
      <c r="Z36" s="49"/>
      <c r="AA36" s="49"/>
    </row>
    <row r="37" ht="15.0" customHeight="1">
      <c r="B37" s="16" t="str">
        <f>HYPERLINK("https://c2.3gokushi.jp/auto_send_troop/index.php?x=" &amp; B36 &amp;"&amp;y=" &amp; C36,"自動出兵ｼｮｰﾄｶｯﾄ")</f>
        <v>自動出兵ｼｮｰﾄｶｯﾄ</v>
      </c>
      <c r="D37" s="17"/>
      <c r="J37" s="60" t="str">
        <f>HYPERLINK("https://c2.3gokushi.jp/auto_send_troop/index.php?x=" &amp; J36 &amp;"&amp;y=" &amp; K36,"自動出兵ｼｮｰﾄｶｯﾄ")</f>
        <v>自動出兵ｼｮｰﾄｶｯﾄ</v>
      </c>
      <c r="K37" s="61"/>
      <c r="L37" s="62"/>
      <c r="M37" s="44"/>
      <c r="N37" s="60" t="str">
        <f>HYPERLINK("https://c2.3gokushi.jp/auto_send_troop/index.php?x=" &amp; N36 &amp;"&amp;y=" &amp; O36,"自動出兵ｼｮｰﾄｶｯﾄ")</f>
        <v>自動出兵ｼｮｰﾄｶｯﾄ</v>
      </c>
      <c r="O37" s="61"/>
      <c r="P37" s="62"/>
      <c r="Q37" s="49" t="s">
        <v>15</v>
      </c>
      <c r="R37" s="44"/>
      <c r="S37" s="44"/>
      <c r="T37" s="44"/>
      <c r="U37" s="44"/>
      <c r="V37" s="44"/>
      <c r="W37" s="44"/>
      <c r="X37" s="44"/>
      <c r="Y37" s="44"/>
      <c r="Z37" s="44"/>
      <c r="AA37" s="44"/>
    </row>
    <row r="38" ht="15.0" customHeight="1">
      <c r="B38" s="9"/>
      <c r="C38" s="10"/>
      <c r="D38" s="11"/>
      <c r="J38" s="50"/>
      <c r="K38" s="51"/>
      <c r="L38" s="52"/>
      <c r="M38" s="44"/>
      <c r="N38" s="50"/>
      <c r="O38" s="51"/>
      <c r="P38" s="52"/>
      <c r="Q38" s="44"/>
      <c r="R38" s="44"/>
      <c r="S38" s="44"/>
      <c r="T38" s="44"/>
      <c r="U38" s="44"/>
      <c r="V38" s="44"/>
      <c r="W38" s="44"/>
      <c r="X38" s="44"/>
      <c r="Y38" s="44"/>
      <c r="Z38" s="44"/>
      <c r="AA38" s="44"/>
    </row>
    <row r="39" ht="15.0" customHeight="1">
      <c r="B39" s="13">
        <v>800.0</v>
      </c>
      <c r="C39" s="1">
        <v>-616.0</v>
      </c>
      <c r="D39" s="14" t="str">
        <f>HYPERLINK("https://c2.3gokushi.jp/map.php?x="&amp;B39&amp;"&amp;y="&amp;C39,"MAP")</f>
        <v>MAP</v>
      </c>
      <c r="F39" s="1"/>
      <c r="G39" s="1"/>
      <c r="J39" s="57">
        <v>825.0</v>
      </c>
      <c r="K39" s="49">
        <v>-75.0</v>
      </c>
      <c r="L39" s="58" t="str">
        <f>HYPERLINK("https://c2.3gokushi.jp/map.php?x="&amp;J39&amp;"&amp;y="&amp;K39,"MAP")</f>
        <v>MAP</v>
      </c>
      <c r="M39" s="49" t="s">
        <v>46</v>
      </c>
      <c r="N39" s="57">
        <v>865.0</v>
      </c>
      <c r="O39" s="49">
        <v>-90.0</v>
      </c>
      <c r="P39" s="58" t="str">
        <f>HYPERLINK("https://c2.3gokushi.jp/map.php?x="&amp;N39&amp;"&amp;y="&amp;O39,"MAP")</f>
        <v>MAP</v>
      </c>
      <c r="Q39" s="44"/>
      <c r="R39" s="49" t="s">
        <v>50</v>
      </c>
      <c r="S39" s="44"/>
      <c r="T39" s="44"/>
      <c r="U39" s="44"/>
      <c r="V39" s="49" t="s">
        <v>30</v>
      </c>
      <c r="W39" s="44"/>
      <c r="X39" s="44"/>
      <c r="Y39" s="44"/>
      <c r="Z39" s="44"/>
      <c r="AA39" s="44"/>
    </row>
    <row r="40" ht="15.0" customHeight="1">
      <c r="B40" s="16" t="str">
        <f>HYPERLINK("https://c2.3gokushi.jp/auto_send_troop/index.php?x=" &amp; B39 &amp;"&amp;y=" &amp; C39,"自動出兵ｼｮｰﾄｶｯﾄ")</f>
        <v>自動出兵ｼｮｰﾄｶｯﾄ</v>
      </c>
      <c r="D40" s="17"/>
      <c r="E40" s="1"/>
      <c r="H40" s="1"/>
      <c r="I40" s="1"/>
      <c r="J40" s="60" t="str">
        <f>HYPERLINK("https://c2.3gokushi.jp/auto_send_troop/index.php?x=" &amp; J39 &amp;"&amp;y=" &amp; K39,"自動出兵ｼｮｰﾄｶｯﾄ")</f>
        <v>自動出兵ｼｮｰﾄｶｯﾄ</v>
      </c>
      <c r="K40" s="61"/>
      <c r="L40" s="62"/>
      <c r="M40" s="44"/>
      <c r="N40" s="60" t="str">
        <f>HYPERLINK("https://c2.3gokushi.jp/auto_send_troop/index.php?x=" &amp; N39 &amp;"&amp;y=" &amp; O39,"自動出兵ｼｮｰﾄｶｯﾄ")</f>
        <v>自動出兵ｼｮｰﾄｶｯﾄ</v>
      </c>
      <c r="O40" s="61"/>
      <c r="P40" s="62"/>
      <c r="Q40" s="49"/>
      <c r="R40" s="54" t="s">
        <v>51</v>
      </c>
      <c r="S40" s="49"/>
      <c r="T40" s="49"/>
      <c r="U40" s="54"/>
      <c r="V40" s="54" t="s">
        <v>52</v>
      </c>
      <c r="W40" s="49"/>
      <c r="X40" s="49"/>
      <c r="Y40" s="40"/>
      <c r="Z40" s="44"/>
      <c r="AA40" s="44"/>
    </row>
    <row r="41" ht="15.0" customHeight="1">
      <c r="B41" s="9"/>
      <c r="C41" s="10"/>
      <c r="D41" s="11"/>
      <c r="J41" s="44"/>
      <c r="K41" s="44"/>
      <c r="L41" s="44"/>
      <c r="M41" s="44"/>
      <c r="N41" s="50"/>
      <c r="O41" s="51"/>
      <c r="P41" s="52"/>
      <c r="Q41" s="40" t="s">
        <v>41</v>
      </c>
      <c r="R41" s="50"/>
      <c r="S41" s="51"/>
      <c r="T41" s="52"/>
      <c r="U41" s="40" t="s">
        <v>41</v>
      </c>
      <c r="V41" s="50"/>
      <c r="W41" s="51"/>
      <c r="X41" s="52"/>
      <c r="Y41" s="49" t="s">
        <v>11</v>
      </c>
      <c r="Z41" s="44"/>
      <c r="AA41" s="44"/>
    </row>
    <row r="42">
      <c r="B42" s="13">
        <v>850.0</v>
      </c>
      <c r="C42" s="1">
        <v>-656.0</v>
      </c>
      <c r="D42" s="14" t="str">
        <f>HYPERLINK("https://c2.3gokushi.jp/map.php?x="&amp;B42&amp;"&amp;y="&amp;C42,"MAP")</f>
        <v>MAP</v>
      </c>
      <c r="J42" s="44"/>
      <c r="K42" s="44"/>
      <c r="L42" s="44"/>
      <c r="M42" s="44"/>
      <c r="N42" s="57">
        <v>925.0</v>
      </c>
      <c r="O42" s="49">
        <v>-75.0</v>
      </c>
      <c r="P42" s="58" t="str">
        <f>HYPERLINK("https://c2.3gokushi.jp/map.php?x="&amp;N42&amp;"&amp;y="&amp;O42,"MAP")</f>
        <v>MAP</v>
      </c>
      <c r="Q42" s="44"/>
      <c r="R42" s="57">
        <v>925.0</v>
      </c>
      <c r="S42" s="49">
        <v>-75.0</v>
      </c>
      <c r="T42" s="58" t="str">
        <f>HYPERLINK("https://c2.3gokushi.jp/map.php?x="&amp;R42&amp;"&amp;y="&amp;S42,"MAP")</f>
        <v>MAP</v>
      </c>
      <c r="U42" s="44"/>
      <c r="V42" s="57">
        <v>925.0</v>
      </c>
      <c r="W42" s="49">
        <v>-75.0</v>
      </c>
      <c r="X42" s="58" t="str">
        <f>HYPERLINK("https://c2.3gokushi.jp/map.php?x="&amp;V42&amp;"&amp;y="&amp;W42,"MAP")</f>
        <v>MAP</v>
      </c>
      <c r="Y42" s="49" t="s">
        <v>14</v>
      </c>
      <c r="Z42" s="44"/>
      <c r="AA42" s="44"/>
    </row>
    <row r="43">
      <c r="B43" s="16" t="str">
        <f>HYPERLINK("https://c2.3gokushi.jp/auto_send_troop/index.php?x=" &amp; B42 &amp;"&amp;y=" &amp; C42,"自動出兵ｼｮｰﾄｶｯﾄ")</f>
        <v>自動出兵ｼｮｰﾄｶｯﾄ</v>
      </c>
      <c r="D43" s="17"/>
      <c r="F43" s="1"/>
      <c r="G43" s="1"/>
      <c r="J43" s="44"/>
      <c r="K43" s="44"/>
      <c r="L43" s="44"/>
      <c r="M43" s="44"/>
      <c r="N43" s="60" t="str">
        <f>HYPERLINK("https://c2.3gokushi.jp/auto_send_troop/index.php?x=" &amp; N42 &amp;"&amp;y=" &amp; O42,"自動出兵ｼｮｰﾄｶｯﾄ")</f>
        <v>自動出兵ｼｮｰﾄｶｯﾄ</v>
      </c>
      <c r="O43" s="61"/>
      <c r="P43" s="62"/>
      <c r="Q43" s="44"/>
      <c r="R43" s="60" t="str">
        <f>HYPERLINK("https://c2.3gokushi.jp/auto_send_troop/index.php?x=" &amp; R42 &amp;"&amp;y=" &amp; S42,"自動出兵ｼｮｰﾄｶｯﾄ")</f>
        <v>自動出兵ｼｮｰﾄｶｯﾄ</v>
      </c>
      <c r="S43" s="61"/>
      <c r="T43" s="62"/>
      <c r="U43" s="44"/>
      <c r="V43" s="60" t="str">
        <f>HYPERLINK("https://c2.3gokushi.jp/auto_send_troop/index.php?x=" &amp; V42 &amp;"&amp;y=" &amp; W42,"自動出兵ｼｮｰﾄｶｯﾄ")</f>
        <v>自動出兵ｼｮｰﾄｶｯﾄ</v>
      </c>
      <c r="W43" s="61"/>
      <c r="X43" s="62"/>
      <c r="Y43" s="49" t="s">
        <v>15</v>
      </c>
      <c r="Z43" s="44"/>
      <c r="AA43" s="44"/>
    </row>
    <row r="44">
      <c r="B44" s="9"/>
      <c r="C44" s="10"/>
      <c r="D44" s="11"/>
      <c r="E44" s="1"/>
      <c r="H44" s="1"/>
      <c r="I44" s="1"/>
      <c r="J44" s="49"/>
      <c r="K44" s="49"/>
      <c r="L44" s="49"/>
      <c r="M44" s="49"/>
      <c r="N44" s="50"/>
      <c r="O44" s="51"/>
      <c r="P44" s="52"/>
      <c r="Q44" s="49"/>
      <c r="R44" s="50"/>
      <c r="S44" s="51"/>
      <c r="T44" s="52"/>
      <c r="U44" s="49"/>
      <c r="V44" s="50"/>
      <c r="W44" s="51"/>
      <c r="X44" s="52"/>
      <c r="Y44" s="44"/>
      <c r="Z44" s="44"/>
      <c r="AA44" s="44"/>
    </row>
    <row r="45">
      <c r="B45" s="13">
        <v>900.0</v>
      </c>
      <c r="C45" s="1">
        <v>-696.0</v>
      </c>
      <c r="D45" s="14" t="str">
        <f>HYPERLINK("https://c2.3gokushi.jp/map.php?x="&amp;B45&amp;"&amp;y="&amp;C45,"MAP")</f>
        <v>MAP</v>
      </c>
      <c r="J45" s="44"/>
      <c r="K45" s="44"/>
      <c r="L45" s="44"/>
      <c r="M45" s="44"/>
      <c r="N45" s="57">
        <v>975.0</v>
      </c>
      <c r="O45" s="49">
        <v>-75.0</v>
      </c>
      <c r="P45" s="58" t="str">
        <f>HYPERLINK("https://c2.3gokushi.jp/map.php?x="&amp;N45&amp;"&amp;y="&amp;O45,"MAP")</f>
        <v>MAP</v>
      </c>
      <c r="Q45" s="44"/>
      <c r="R45" s="57">
        <v>955.0</v>
      </c>
      <c r="S45" s="49">
        <v>-25.0</v>
      </c>
      <c r="T45" s="58" t="str">
        <f>HYPERLINK("https://c2.3gokushi.jp/map.php?x="&amp;R45&amp;"&amp;y="&amp;S45,"MAP")</f>
        <v>MAP</v>
      </c>
      <c r="U45" s="44"/>
      <c r="V45" s="57">
        <v>975.0</v>
      </c>
      <c r="W45" s="49">
        <v>-125.0</v>
      </c>
      <c r="X45" s="58" t="str">
        <f>HYPERLINK("https://c2.3gokushi.jp/map.php?x="&amp;V45&amp;"&amp;y="&amp;W45,"MAP")</f>
        <v>MAP</v>
      </c>
      <c r="Y45" s="44"/>
      <c r="Z45" s="44"/>
      <c r="AA45" s="44"/>
    </row>
    <row r="46">
      <c r="B46" s="16" t="str">
        <f>HYPERLINK("https://c2.3gokushi.jp/auto_send_troop/index.php?x=" &amp; B45 &amp;"&amp;y=" &amp; C45,"自動出兵ｼｮｰﾄｶｯﾄ")</f>
        <v>自動出兵ｼｮｰﾄｶｯﾄ</v>
      </c>
      <c r="D46" s="17"/>
      <c r="J46" s="44"/>
      <c r="K46" s="44"/>
      <c r="L46" s="44"/>
      <c r="M46" s="44"/>
      <c r="N46" s="60" t="str">
        <f>HYPERLINK("https://c2.3gokushi.jp/auto_send_troop/index.php?x=" &amp; N45 &amp;"&amp;y=" &amp; O45,"自動出兵ｼｮｰﾄｶｯﾄ")</f>
        <v>自動出兵ｼｮｰﾄｶｯﾄ</v>
      </c>
      <c r="O46" s="61"/>
      <c r="P46" s="62"/>
      <c r="Q46" s="44"/>
      <c r="R46" s="60" t="str">
        <f>HYPERLINK("https://c2.3gokushi.jp/auto_send_troop/index.php?x=" &amp; R45 &amp;"&amp;y=" &amp; S45,"自動出兵ｼｮｰﾄｶｯﾄ")</f>
        <v>自動出兵ｼｮｰﾄｶｯﾄ</v>
      </c>
      <c r="S46" s="61"/>
      <c r="T46" s="62"/>
      <c r="U46" s="44"/>
      <c r="V46" s="60" t="str">
        <f>HYPERLINK("https://c2.3gokushi.jp/auto_send_troop/index.php?x=" &amp; V45 &amp;"&amp;y=" &amp; W45,"自動出兵ｼｮｰﾄｶｯﾄ")</f>
        <v>自動出兵ｼｮｰﾄｶｯﾄ</v>
      </c>
      <c r="W46" s="61"/>
      <c r="X46" s="62"/>
      <c r="Y46" s="44"/>
      <c r="Z46" s="44"/>
      <c r="AA46" s="44"/>
    </row>
    <row r="47">
      <c r="B47" s="9"/>
      <c r="C47" s="10"/>
      <c r="D47" s="11"/>
      <c r="F47" s="1"/>
      <c r="G47" s="1"/>
      <c r="J47" s="44"/>
      <c r="K47" s="44"/>
      <c r="L47" s="44"/>
      <c r="M47" s="44"/>
      <c r="N47" s="50"/>
      <c r="O47" s="51"/>
      <c r="P47" s="52"/>
      <c r="Q47" s="44"/>
      <c r="R47" s="50"/>
      <c r="S47" s="51"/>
      <c r="T47" s="52"/>
      <c r="U47" s="44"/>
      <c r="V47" s="50"/>
      <c r="W47" s="51"/>
      <c r="X47" s="52"/>
      <c r="Y47" s="44"/>
      <c r="Z47" s="44"/>
      <c r="AA47" s="44"/>
    </row>
    <row r="48">
      <c r="B48" s="13">
        <v>950.0</v>
      </c>
      <c r="C48" s="1">
        <v>-736.0</v>
      </c>
      <c r="D48" s="14" t="str">
        <f>HYPERLINK("https://c2.3gokushi.jp/map.php?x="&amp;B48&amp;"&amp;y="&amp;C48,"MAP")</f>
        <v>MAP</v>
      </c>
      <c r="J48" s="44"/>
      <c r="K48" s="44"/>
      <c r="L48" s="44"/>
      <c r="M48" s="44"/>
      <c r="N48" s="57">
        <v>1025.0</v>
      </c>
      <c r="O48" s="49">
        <v>-75.0</v>
      </c>
      <c r="P48" s="58" t="str">
        <f>HYPERLINK("https://c2.3gokushi.jp/map.php?x="&amp;N48&amp;"&amp;y="&amp;O48,"MAP")</f>
        <v>MAP</v>
      </c>
      <c r="Q48" s="44"/>
      <c r="R48" s="57">
        <v>985.0</v>
      </c>
      <c r="S48" s="49">
        <v>25.0</v>
      </c>
      <c r="T48" s="58" t="str">
        <f>HYPERLINK("https://c2.3gokushi.jp/map.php?x="&amp;R48&amp;"&amp;y="&amp;S48,"MAP")</f>
        <v>MAP</v>
      </c>
      <c r="U48" s="44"/>
      <c r="V48" s="57">
        <v>1025.0</v>
      </c>
      <c r="W48" s="49">
        <v>-175.0</v>
      </c>
      <c r="X48" s="58" t="str">
        <f>HYPERLINK("https://c2.3gokushi.jp/map.php?x="&amp;V48&amp;"&amp;y="&amp;W48,"MAP")</f>
        <v>MAP</v>
      </c>
      <c r="Y48" s="44"/>
      <c r="Z48" s="44"/>
      <c r="AA48" s="44"/>
    </row>
    <row r="49">
      <c r="B49" s="16" t="str">
        <f>HYPERLINK("https://c2.3gokushi.jp/auto_send_troop/index.php?x=" &amp; B48 &amp;"&amp;y=" &amp; C48,"自動出兵ｼｮｰﾄｶｯﾄ")</f>
        <v>自動出兵ｼｮｰﾄｶｯﾄ</v>
      </c>
      <c r="D49" s="17"/>
      <c r="J49" s="44"/>
      <c r="K49" s="44"/>
      <c r="L49" s="44"/>
      <c r="M49" s="44"/>
      <c r="N49" s="60" t="str">
        <f>HYPERLINK("https://c2.3gokushi.jp/auto_send_troop/index.php?x=" &amp; N48 &amp;"&amp;y=" &amp; O48,"自動出兵ｼｮｰﾄｶｯﾄ")</f>
        <v>自動出兵ｼｮｰﾄｶｯﾄ</v>
      </c>
      <c r="O49" s="61"/>
      <c r="P49" s="62"/>
      <c r="Q49" s="44"/>
      <c r="R49" s="60" t="str">
        <f>HYPERLINK("https://c2.3gokushi.jp/auto_send_troop/index.php?x=" &amp; R48 &amp;"&amp;y=" &amp; S48,"自動出兵ｼｮｰﾄｶｯﾄ")</f>
        <v>自動出兵ｼｮｰﾄｶｯﾄ</v>
      </c>
      <c r="S49" s="61"/>
      <c r="T49" s="62"/>
      <c r="U49" s="44"/>
      <c r="V49" s="60" t="str">
        <f>HYPERLINK("https://c2.3gokushi.jp/auto_send_troop/index.php?x=" &amp; V48 &amp;"&amp;y=" &amp; W48,"自動出兵ｼｮｰﾄｶｯﾄ")</f>
        <v>自動出兵ｼｮｰﾄｶｯﾄ</v>
      </c>
      <c r="W49" s="61"/>
      <c r="X49" s="62"/>
      <c r="Y49" s="44"/>
      <c r="Z49" s="44"/>
      <c r="AA49" s="44"/>
    </row>
    <row r="50">
      <c r="B50" s="9"/>
      <c r="C50" s="10"/>
      <c r="D50" s="11"/>
      <c r="J50" s="44"/>
      <c r="K50" s="44"/>
      <c r="L50" s="44"/>
      <c r="M50" s="44"/>
      <c r="N50" s="50"/>
      <c r="O50" s="51"/>
      <c r="P50" s="52"/>
      <c r="Q50" s="44"/>
      <c r="R50" s="50"/>
      <c r="S50" s="51"/>
      <c r="T50" s="52"/>
      <c r="U50" s="44"/>
      <c r="V50" s="50"/>
      <c r="W50" s="51"/>
      <c r="X50" s="52"/>
      <c r="Y50" s="44"/>
      <c r="Z50" s="44"/>
      <c r="AA50" s="44"/>
    </row>
    <row r="51">
      <c r="B51" s="13">
        <v>1000.0</v>
      </c>
      <c r="C51" s="1">
        <v>-776.0</v>
      </c>
      <c r="D51" s="14" t="str">
        <f>HYPERLINK("https://c2.3gokushi.jp/map.php?x="&amp;B51&amp;"&amp;y="&amp;C51,"MAP")</f>
        <v>MAP</v>
      </c>
      <c r="F51" s="1" t="s">
        <v>30</v>
      </c>
      <c r="J51" s="44"/>
      <c r="K51" s="44"/>
      <c r="L51" s="44"/>
      <c r="M51" s="44"/>
      <c r="N51" s="57">
        <v>1062.0</v>
      </c>
      <c r="O51" s="49">
        <v>-72.0</v>
      </c>
      <c r="P51" s="58" t="str">
        <f>HYPERLINK("https://c2.3gokushi.jp/map.php?x="&amp;N51&amp;"&amp;y="&amp;O51,"MAP")</f>
        <v>MAP</v>
      </c>
      <c r="Q51" s="49" t="s">
        <v>46</v>
      </c>
      <c r="R51" s="57">
        <v>1015.0</v>
      </c>
      <c r="S51" s="49">
        <v>75.0</v>
      </c>
      <c r="T51" s="58" t="str">
        <f>HYPERLINK("https://c2.3gokushi.jp/map.php?x="&amp;R51&amp;"&amp;y="&amp;S51,"MAP")</f>
        <v>MAP</v>
      </c>
      <c r="U51" s="44"/>
      <c r="V51" s="57">
        <v>1089.0</v>
      </c>
      <c r="W51" s="49">
        <v>-225.0</v>
      </c>
      <c r="X51" s="58" t="str">
        <f>HYPERLINK("https://c2.3gokushi.jp/map.php?x="&amp;V51&amp;"&amp;y="&amp;W51,"MAP")</f>
        <v>MAP</v>
      </c>
      <c r="Y51" s="49" t="s">
        <v>46</v>
      </c>
      <c r="Z51" s="44"/>
      <c r="AA51" s="44"/>
    </row>
    <row r="52">
      <c r="B52" s="16" t="str">
        <f>HYPERLINK("https://c2.3gokushi.jp/auto_send_troop/index.php?x=" &amp; B51 &amp;"&amp;y=" &amp; C51,"自動出兵ｼｮｰﾄｶｯﾄ")</f>
        <v>自動出兵ｼｮｰﾄｶｯﾄ</v>
      </c>
      <c r="D52" s="17"/>
      <c r="F52" s="72" t="s">
        <v>53</v>
      </c>
      <c r="J52" s="44"/>
      <c r="K52" s="44"/>
      <c r="L52" s="44"/>
      <c r="M52" s="44"/>
      <c r="N52" s="60" t="str">
        <f>HYPERLINK("https://c2.3gokushi.jp/auto_send_troop/index.php?x=" &amp; N51 &amp;"&amp;y=" &amp; O51,"自動出兵ｼｮｰﾄｶｯﾄ")</f>
        <v>自動出兵ｼｮｰﾄｶｯﾄ</v>
      </c>
      <c r="O52" s="61"/>
      <c r="P52" s="62"/>
      <c r="Q52" s="44"/>
      <c r="R52" s="60" t="str">
        <f>HYPERLINK("https://c2.3gokushi.jp/auto_send_troop/index.php?x=" &amp; R51 &amp;"&amp;y=" &amp; S51,"自動出兵ｼｮｰﾄｶｯﾄ")</f>
        <v>自動出兵ｼｮｰﾄｶｯﾄ</v>
      </c>
      <c r="S52" s="61"/>
      <c r="T52" s="62"/>
      <c r="U52" s="44"/>
      <c r="V52" s="60" t="str">
        <f>HYPERLINK("https://c2.3gokushi.jp/auto_send_troop/index.php?x=" &amp; V51 &amp;"&amp;y=" &amp; W51,"自動出兵ｼｮｰﾄｶｯﾄ")</f>
        <v>自動出兵ｼｮｰﾄｶｯﾄ</v>
      </c>
      <c r="W52" s="61"/>
      <c r="X52" s="62"/>
      <c r="Y52" s="44"/>
      <c r="Z52" s="44"/>
      <c r="AA52" s="44"/>
    </row>
    <row r="53">
      <c r="B53" s="9"/>
      <c r="C53" s="10"/>
      <c r="D53" s="11"/>
      <c r="E53" s="30" t="s">
        <v>41</v>
      </c>
      <c r="F53" s="64"/>
      <c r="G53" s="65"/>
      <c r="H53" s="66"/>
      <c r="I53" s="1" t="s">
        <v>11</v>
      </c>
      <c r="J53" s="44"/>
      <c r="K53" s="44"/>
      <c r="L53" s="44"/>
      <c r="M53" s="44"/>
      <c r="N53" s="44"/>
      <c r="O53" s="44"/>
      <c r="P53" s="44"/>
      <c r="Q53" s="44"/>
      <c r="R53" s="50"/>
      <c r="S53" s="51"/>
      <c r="T53" s="52"/>
      <c r="U53" s="44"/>
      <c r="V53" s="44"/>
      <c r="W53" s="44"/>
      <c r="X53" s="44"/>
      <c r="Y53" s="44"/>
      <c r="Z53" s="44"/>
      <c r="AA53" s="44"/>
    </row>
    <row r="54">
      <c r="B54" s="13">
        <v>1035.0</v>
      </c>
      <c r="C54" s="1">
        <v>-800.0</v>
      </c>
      <c r="D54" s="14" t="str">
        <f>HYPERLINK("https://c2.3gokushi.jp/map.php?x="&amp;B54&amp;"&amp;y="&amp;C54,"MAP")</f>
        <v>MAP</v>
      </c>
      <c r="F54" s="67">
        <v>1035.0</v>
      </c>
      <c r="G54" s="1">
        <v>-800.0</v>
      </c>
      <c r="H54" s="68" t="str">
        <f>HYPERLINK("https://c2.3gokushi.jp/map.php?x="&amp;F54&amp;"&amp;y="&amp;G54,"MAP")</f>
        <v>MAP</v>
      </c>
      <c r="I54" s="1" t="s">
        <v>14</v>
      </c>
      <c r="J54" s="44"/>
      <c r="K54" s="44"/>
      <c r="L54" s="44"/>
      <c r="M54" s="44"/>
      <c r="N54" s="44"/>
      <c r="O54" s="44"/>
      <c r="P54" s="44"/>
      <c r="Q54" s="44"/>
      <c r="R54" s="57">
        <v>1050.0</v>
      </c>
      <c r="S54" s="49">
        <v>125.0</v>
      </c>
      <c r="T54" s="58" t="str">
        <f>HYPERLINK("https://c2.3gokushi.jp/map.php?x="&amp;R54&amp;"&amp;y="&amp;S54,"MAP")</f>
        <v>MAP</v>
      </c>
      <c r="U54" s="44"/>
      <c r="V54" s="44"/>
      <c r="W54" s="44"/>
      <c r="X54" s="44"/>
      <c r="Y54" s="44"/>
      <c r="Z54" s="44"/>
      <c r="AA54" s="44"/>
    </row>
    <row r="55">
      <c r="B55" s="16" t="str">
        <f>HYPERLINK("https://c2.3gokushi.jp/auto_send_troop/index.php?x=" &amp; B54 &amp;"&amp;y=" &amp; C54,"自動出兵ｼｮｰﾄｶｯﾄ")</f>
        <v>自動出兵ｼｮｰﾄｶｯﾄ</v>
      </c>
      <c r="D55" s="17"/>
      <c r="F55" s="69" t="str">
        <f>HYPERLINK("https://c2.3gokushi.jp/auto_send_troop/index.php?x=" &amp; F54 &amp;"&amp;y=" &amp; G54,"自動出兵ｼｮｰﾄｶｯﾄ")</f>
        <v>自動出兵ｼｮｰﾄｶｯﾄ</v>
      </c>
      <c r="G55" s="70"/>
      <c r="H55" s="71"/>
      <c r="I55" s="1" t="s">
        <v>15</v>
      </c>
      <c r="J55" s="44"/>
      <c r="K55" s="44"/>
      <c r="L55" s="44"/>
      <c r="M55" s="44"/>
      <c r="N55" s="44"/>
      <c r="O55" s="44"/>
      <c r="P55" s="44"/>
      <c r="Q55" s="44"/>
      <c r="R55" s="60" t="str">
        <f>HYPERLINK("https://c2.3gokushi.jp/auto_send_troop/index.php?x=" &amp; R54 &amp;"&amp;y=" &amp; S54,"自動出兵ｼｮｰﾄｶｯﾄ")</f>
        <v>自動出兵ｼｮｰﾄｶｯﾄ</v>
      </c>
      <c r="S55" s="61"/>
      <c r="T55" s="62"/>
      <c r="U55" s="44"/>
      <c r="V55" s="44"/>
      <c r="W55" s="44"/>
      <c r="X55" s="44"/>
      <c r="Y55" s="44"/>
      <c r="Z55" s="44"/>
      <c r="AA55" s="44"/>
    </row>
    <row r="56">
      <c r="B56" s="9"/>
      <c r="C56" s="10"/>
      <c r="D56" s="11"/>
      <c r="F56" s="64"/>
      <c r="G56" s="65"/>
      <c r="H56" s="66"/>
      <c r="J56" s="44"/>
      <c r="K56" s="44"/>
      <c r="L56" s="44"/>
      <c r="M56" s="44"/>
      <c r="N56" s="44"/>
      <c r="O56" s="44"/>
      <c r="P56" s="44"/>
      <c r="Q56" s="44"/>
      <c r="R56" s="50"/>
      <c r="S56" s="51"/>
      <c r="T56" s="52"/>
      <c r="U56" s="44"/>
      <c r="V56" s="44"/>
      <c r="W56" s="44"/>
      <c r="X56" s="44"/>
      <c r="Y56" s="44"/>
      <c r="Z56" s="44"/>
      <c r="AA56" s="44"/>
    </row>
    <row r="57">
      <c r="B57" s="13">
        <v>1100.0</v>
      </c>
      <c r="C57" s="1">
        <v>-856.0</v>
      </c>
      <c r="D57" s="14" t="str">
        <f>HYPERLINK("https://c2.3gokushi.jp/map.php?x="&amp;B57&amp;"&amp;y="&amp;C57,"MAP")</f>
        <v>MAP</v>
      </c>
      <c r="F57" s="67">
        <v>1054.0</v>
      </c>
      <c r="G57" s="1">
        <v>-781.0</v>
      </c>
      <c r="H57" s="68" t="str">
        <f>HYPERLINK("https://c2.3gokushi.jp/map.php?x="&amp;F57&amp;"&amp;y="&amp;G57,"MAP")</f>
        <v>MAP</v>
      </c>
      <c r="I57" s="1" t="s">
        <v>46</v>
      </c>
      <c r="J57" s="44"/>
      <c r="K57" s="44"/>
      <c r="L57" s="44"/>
      <c r="M57" s="44"/>
      <c r="N57" s="44"/>
      <c r="O57" s="44"/>
      <c r="P57" s="44"/>
      <c r="Q57" s="44"/>
      <c r="R57" s="57">
        <v>1095.0</v>
      </c>
      <c r="S57" s="49">
        <v>150.0</v>
      </c>
      <c r="T57" s="58" t="str">
        <f>HYPERLINK("https://c2.3gokushi.jp/map.php?x="&amp;R57&amp;"&amp;y="&amp;S57,"MAP")</f>
        <v>MAP</v>
      </c>
      <c r="U57" s="44"/>
      <c r="V57" s="44"/>
      <c r="W57" s="44"/>
      <c r="X57" s="44"/>
      <c r="Y57" s="44"/>
      <c r="Z57" s="44"/>
      <c r="AA57" s="44"/>
    </row>
    <row r="58">
      <c r="B58" s="16" t="str">
        <f>HYPERLINK("https://c2.3gokushi.jp/auto_send_troop/index.php?x=" &amp; B57 &amp;"&amp;y=" &amp; C57,"自動出兵ｼｮｰﾄｶｯﾄ")</f>
        <v>自動出兵ｼｮｰﾄｶｯﾄ</v>
      </c>
      <c r="D58" s="17"/>
      <c r="F58" s="69" t="str">
        <f>HYPERLINK("https://c2.3gokushi.jp/auto_send_troop/index.php?x=" &amp; F57 &amp;"&amp;y=" &amp; G57,"自動出兵ｼｮｰﾄｶｯﾄ")</f>
        <v>自動出兵ｼｮｰﾄｶｯﾄ</v>
      </c>
      <c r="G58" s="70"/>
      <c r="H58" s="71"/>
      <c r="I58" s="1" t="s">
        <v>54</v>
      </c>
      <c r="J58" s="44"/>
      <c r="K58" s="44"/>
      <c r="L58" s="44"/>
      <c r="M58" s="44"/>
      <c r="N58" s="44"/>
      <c r="O58" s="44"/>
      <c r="P58" s="44"/>
      <c r="Q58" s="44"/>
      <c r="R58" s="60" t="str">
        <f>HYPERLINK("https://c2.3gokushi.jp/auto_send_troop/index.php?x=" &amp; R57 &amp;"&amp;y=" &amp; S57,"自動出兵ｼｮｰﾄｶｯﾄ")</f>
        <v>自動出兵ｼｮｰﾄｶｯﾄ</v>
      </c>
      <c r="S58" s="61"/>
      <c r="T58" s="62"/>
      <c r="U58" s="44"/>
      <c r="V58" s="44"/>
      <c r="W58" s="44"/>
      <c r="X58" s="44"/>
      <c r="Y58" s="44"/>
      <c r="Z58" s="44"/>
      <c r="AA58" s="44"/>
    </row>
    <row r="59">
      <c r="B59" s="9"/>
      <c r="C59" s="10"/>
      <c r="D59" s="11"/>
      <c r="E59" s="30"/>
      <c r="J59" s="44"/>
      <c r="K59" s="44"/>
      <c r="L59" s="44"/>
      <c r="M59" s="44"/>
      <c r="N59" s="44"/>
      <c r="O59" s="44"/>
      <c r="P59" s="44"/>
      <c r="Q59" s="44"/>
      <c r="R59" s="50"/>
      <c r="S59" s="51"/>
      <c r="T59" s="52"/>
      <c r="U59" s="44"/>
      <c r="V59" s="44"/>
      <c r="W59" s="44"/>
      <c r="X59" s="44"/>
      <c r="Y59" s="44"/>
      <c r="Z59" s="44"/>
      <c r="AA59" s="44"/>
    </row>
    <row r="60">
      <c r="B60" s="13">
        <v>1150.0</v>
      </c>
      <c r="C60" s="1">
        <v>-896.0</v>
      </c>
      <c r="D60" s="14" t="str">
        <f>HYPERLINK("https://c2.3gokushi.jp/map.php?x="&amp;B60&amp;"&amp;y="&amp;C60,"MAP")</f>
        <v>MAP</v>
      </c>
      <c r="J60" s="44"/>
      <c r="K60" s="44"/>
      <c r="L60" s="44"/>
      <c r="M60" s="44"/>
      <c r="N60" s="44"/>
      <c r="O60" s="44"/>
      <c r="P60" s="44"/>
      <c r="Q60" s="44"/>
      <c r="R60" s="57">
        <v>1140.0</v>
      </c>
      <c r="S60" s="49">
        <v>179.0</v>
      </c>
      <c r="T60" s="58" t="str">
        <f>HYPERLINK("https://c2.3gokushi.jp/map.php?x="&amp;R60&amp;"&amp;y="&amp;S60,"MAP")</f>
        <v>MAP</v>
      </c>
      <c r="U60" s="49" t="s">
        <v>46</v>
      </c>
      <c r="V60" s="44"/>
      <c r="W60" s="44"/>
      <c r="X60" s="44"/>
      <c r="Y60" s="44"/>
      <c r="Z60" s="49"/>
      <c r="AA60" s="49"/>
    </row>
    <row r="61">
      <c r="B61" s="16" t="str">
        <f>HYPERLINK("https://c2.3gokushi.jp/auto_send_troop/index.php?x=" &amp; B60 &amp;"&amp;y=" &amp; C60,"自動出兵ｼｮｰﾄｶｯﾄ")</f>
        <v>自動出兵ｼｮｰﾄｶｯﾄ</v>
      </c>
      <c r="D61" s="17"/>
      <c r="F61" s="1" t="s">
        <v>55</v>
      </c>
      <c r="J61" s="44"/>
      <c r="K61" s="44"/>
      <c r="L61" s="44"/>
      <c r="M61" s="44"/>
      <c r="N61" s="44"/>
      <c r="O61" s="44"/>
      <c r="P61" s="44"/>
      <c r="Q61" s="44"/>
      <c r="R61" s="60" t="str">
        <f>HYPERLINK("https://c2.3gokushi.jp/auto_send_troop/index.php?x=" &amp; R60 &amp;"&amp;y=" &amp; S60,"自動出兵ｼｮｰﾄｶｯﾄ")</f>
        <v>自動出兵ｼｮｰﾄｶｯﾄ</v>
      </c>
      <c r="S61" s="61"/>
      <c r="T61" s="62"/>
      <c r="U61" s="44"/>
      <c r="V61" s="44"/>
      <c r="W61" s="44"/>
      <c r="X61" s="44"/>
      <c r="Y61" s="44"/>
      <c r="Z61" s="49"/>
      <c r="AA61" s="49"/>
    </row>
    <row r="62">
      <c r="B62" s="9"/>
      <c r="C62" s="10"/>
      <c r="D62" s="11"/>
      <c r="E62" s="30" t="s">
        <v>41</v>
      </c>
      <c r="F62" s="64"/>
      <c r="G62" s="65"/>
      <c r="H62" s="66"/>
      <c r="I62" s="1" t="s">
        <v>11</v>
      </c>
      <c r="J62" s="44"/>
      <c r="K62" s="44"/>
      <c r="L62" s="44"/>
      <c r="M62" s="44"/>
      <c r="N62" s="44"/>
      <c r="O62" s="44"/>
      <c r="P62" s="44"/>
      <c r="Q62" s="44"/>
      <c r="R62" s="44"/>
      <c r="S62" s="44"/>
      <c r="T62" s="44"/>
      <c r="U62" s="44"/>
      <c r="V62" s="44"/>
      <c r="W62" s="44"/>
      <c r="X62" s="44"/>
      <c r="Y62" s="44"/>
      <c r="Z62" s="44"/>
      <c r="AA62" s="44"/>
    </row>
    <row r="63">
      <c r="B63" s="13">
        <v>1200.0</v>
      </c>
      <c r="C63" s="1">
        <v>-936.0</v>
      </c>
      <c r="D63" s="14" t="str">
        <f>HYPERLINK("https://c2.3gokushi.jp/map.php?x="&amp;B63&amp;"&amp;y="&amp;C63,"MAP")</f>
        <v>MAP</v>
      </c>
      <c r="F63" s="67">
        <v>1200.0</v>
      </c>
      <c r="G63" s="1">
        <v>-936.0</v>
      </c>
      <c r="H63" s="68" t="str">
        <f>HYPERLINK("https://c2.3gokushi.jp/map.php?x="&amp;F63&amp;"&amp;y="&amp;G63,"MAP")</f>
        <v>MAP</v>
      </c>
      <c r="I63" s="1" t="s">
        <v>14</v>
      </c>
      <c r="J63" s="44"/>
      <c r="K63" s="44"/>
      <c r="L63" s="44"/>
      <c r="M63" s="44"/>
      <c r="N63" s="44"/>
      <c r="O63" s="44"/>
      <c r="P63" s="44"/>
      <c r="Q63" s="44"/>
      <c r="R63" s="44"/>
      <c r="S63" s="44"/>
      <c r="T63" s="44"/>
      <c r="U63" s="44"/>
      <c r="V63" s="44"/>
      <c r="W63" s="44"/>
      <c r="X63" s="44"/>
      <c r="Y63" s="44"/>
      <c r="Z63" s="44"/>
      <c r="AA63" s="44"/>
    </row>
    <row r="64">
      <c r="B64" s="16" t="str">
        <f>HYPERLINK("https://c2.3gokushi.jp/auto_send_troop/index.php?x=" &amp; B63 &amp;"&amp;y=" &amp; C63,"自動出兵ｼｮｰﾄｶｯﾄ")</f>
        <v>自動出兵ｼｮｰﾄｶｯﾄ</v>
      </c>
      <c r="D64" s="17"/>
      <c r="F64" s="69" t="str">
        <f>HYPERLINK("https://c2.3gokushi.jp/auto_send_troop/index.php?x=" &amp; F63 &amp;"&amp;y=" &amp; G63,"自動出兵ｼｮｰﾄｶｯﾄ")</f>
        <v>自動出兵ｼｮｰﾄｶｯﾄ</v>
      </c>
      <c r="G64" s="70"/>
      <c r="H64" s="71"/>
      <c r="I64" s="1" t="s">
        <v>15</v>
      </c>
      <c r="J64" s="44"/>
      <c r="K64" s="44"/>
      <c r="L64" s="44"/>
      <c r="M64" s="44"/>
      <c r="N64" s="44"/>
      <c r="O64" s="44"/>
      <c r="P64" s="44"/>
      <c r="Q64" s="44"/>
      <c r="R64" s="44"/>
      <c r="S64" s="44"/>
      <c r="T64" s="44"/>
      <c r="U64" s="44"/>
      <c r="V64" s="44"/>
      <c r="W64" s="44"/>
      <c r="X64" s="44"/>
      <c r="Y64" s="44"/>
      <c r="Z64" s="44"/>
      <c r="AA64" s="44"/>
    </row>
    <row r="65">
      <c r="B65" s="9"/>
      <c r="C65" s="10"/>
      <c r="D65" s="11"/>
      <c r="F65" s="64"/>
      <c r="G65" s="65"/>
      <c r="H65" s="66"/>
      <c r="J65" s="44"/>
      <c r="K65" s="44"/>
      <c r="L65" s="44"/>
      <c r="M65" s="44"/>
      <c r="N65" s="44"/>
      <c r="O65" s="44"/>
      <c r="P65" s="44"/>
      <c r="Q65" s="44"/>
      <c r="R65" s="44"/>
      <c r="S65" s="44"/>
      <c r="T65" s="44"/>
      <c r="U65" s="44"/>
      <c r="V65" s="44"/>
      <c r="W65" s="44"/>
      <c r="X65" s="44"/>
      <c r="Y65" s="44"/>
      <c r="Z65" s="44"/>
      <c r="AA65" s="44"/>
    </row>
    <row r="66">
      <c r="B66" s="13">
        <v>1225.0</v>
      </c>
      <c r="C66" s="1">
        <v>-976.0</v>
      </c>
      <c r="D66" s="14" t="str">
        <f>HYPERLINK("https://c2.3gokushi.jp/map.php?x="&amp;B66&amp;"&amp;y="&amp;C66,"MAP")</f>
        <v>MAP</v>
      </c>
      <c r="F66" s="67">
        <v>1172.0</v>
      </c>
      <c r="G66" s="1">
        <v>-980.0</v>
      </c>
      <c r="H66" s="68" t="str">
        <f>HYPERLINK("https://c2.3gokushi.jp/map.php?x="&amp;F66&amp;"&amp;y="&amp;G66,"MAP")</f>
        <v>MAP</v>
      </c>
      <c r="I66" s="1" t="s">
        <v>46</v>
      </c>
      <c r="J66" s="44"/>
      <c r="K66" s="44"/>
      <c r="L66" s="44"/>
      <c r="M66" s="44"/>
      <c r="N66" s="44"/>
      <c r="O66" s="44"/>
      <c r="P66" s="44"/>
      <c r="Q66" s="44"/>
      <c r="R66" s="44"/>
      <c r="S66" s="44"/>
      <c r="T66" s="44"/>
      <c r="U66" s="44"/>
      <c r="V66" s="44"/>
      <c r="W66" s="44"/>
      <c r="X66" s="44"/>
      <c r="Y66" s="44"/>
      <c r="Z66" s="44"/>
      <c r="AA66" s="44"/>
    </row>
    <row r="67">
      <c r="B67" s="16" t="str">
        <f>HYPERLINK("https://c2.3gokushi.jp/auto_send_troop/index.php?x=" &amp; B66 &amp;"&amp;y=" &amp; C66,"自動出兵ｼｮｰﾄｶｯﾄ")</f>
        <v>自動出兵ｼｮｰﾄｶｯﾄ</v>
      </c>
      <c r="D67" s="17"/>
      <c r="F67" s="69" t="str">
        <f>HYPERLINK("https://c2.3gokushi.jp/auto_send_troop/index.php?x=" &amp; F66 &amp;"&amp;y=" &amp; G66,"自動出兵ｼｮｰﾄｶｯﾄ")</f>
        <v>自動出兵ｼｮｰﾄｶｯﾄ</v>
      </c>
      <c r="G67" s="70"/>
      <c r="H67" s="71"/>
      <c r="I67" s="1" t="s">
        <v>47</v>
      </c>
      <c r="J67" s="44"/>
      <c r="K67" s="44"/>
      <c r="L67" s="44"/>
      <c r="M67" s="44"/>
      <c r="N67" s="44"/>
      <c r="O67" s="44"/>
      <c r="P67" s="44"/>
      <c r="Q67" s="44"/>
      <c r="R67" s="44"/>
      <c r="S67" s="44"/>
      <c r="T67" s="44"/>
      <c r="U67" s="44"/>
      <c r="V67" s="44"/>
      <c r="W67" s="44"/>
      <c r="X67" s="44"/>
      <c r="Y67" s="44"/>
      <c r="Z67" s="44"/>
      <c r="AA67" s="44"/>
    </row>
    <row r="68">
      <c r="B68" s="9"/>
      <c r="C68" s="10"/>
      <c r="D68" s="11"/>
      <c r="J68" s="44"/>
      <c r="K68" s="44"/>
      <c r="L68" s="44"/>
      <c r="M68" s="44"/>
      <c r="N68" s="44"/>
      <c r="O68" s="44"/>
      <c r="P68" s="44"/>
      <c r="Q68" s="44"/>
      <c r="R68" s="44"/>
      <c r="S68" s="44"/>
      <c r="T68" s="44"/>
      <c r="U68" s="44"/>
      <c r="V68" s="44"/>
      <c r="W68" s="44"/>
      <c r="X68" s="44"/>
      <c r="Y68" s="44"/>
      <c r="Z68" s="44"/>
      <c r="AA68" s="44"/>
    </row>
    <row r="69">
      <c r="B69" s="13">
        <v>1233.0</v>
      </c>
      <c r="C69" s="1">
        <v>-1025.0</v>
      </c>
      <c r="D69" s="14" t="str">
        <f>HYPERLINK("https://c2.3gokushi.jp/map.php?x="&amp;B69&amp;"&amp;y="&amp;C69,"MAP")</f>
        <v>MAP</v>
      </c>
      <c r="J69" s="44"/>
      <c r="K69" s="44"/>
      <c r="L69" s="44"/>
      <c r="M69" s="44"/>
      <c r="N69" s="44"/>
      <c r="O69" s="44"/>
      <c r="P69" s="44"/>
      <c r="Q69" s="44"/>
      <c r="R69" s="44"/>
      <c r="S69" s="44"/>
      <c r="T69" s="44"/>
      <c r="U69" s="44"/>
      <c r="V69" s="44"/>
      <c r="W69" s="44"/>
      <c r="X69" s="44"/>
      <c r="Y69" s="44"/>
      <c r="Z69" s="44"/>
      <c r="AA69" s="44"/>
    </row>
    <row r="70">
      <c r="B70" s="16" t="str">
        <f>HYPERLINK("https://c2.3gokushi.jp/auto_send_troop/index.php?x=" &amp; B69 &amp;"&amp;y=" &amp; C69,"自動出兵ｼｮｰﾄｶｯﾄ")</f>
        <v>自動出兵ｼｮｰﾄｶｯﾄ</v>
      </c>
      <c r="D70" s="17"/>
      <c r="J70" s="44"/>
      <c r="K70" s="44"/>
      <c r="L70" s="44"/>
      <c r="M70" s="44"/>
      <c r="N70" s="44"/>
      <c r="O70" s="44"/>
      <c r="P70" s="44"/>
      <c r="Q70" s="44"/>
      <c r="R70" s="44"/>
      <c r="S70" s="44"/>
      <c r="T70" s="44"/>
      <c r="U70" s="44"/>
      <c r="V70" s="44"/>
      <c r="W70" s="44"/>
      <c r="X70" s="44"/>
      <c r="Y70" s="44"/>
      <c r="Z70" s="44"/>
      <c r="AA70" s="44"/>
    </row>
    <row r="71">
      <c r="B71" s="9"/>
      <c r="C71" s="10"/>
      <c r="D71" s="11"/>
      <c r="J71" s="44"/>
      <c r="K71" s="44"/>
      <c r="L71" s="44"/>
      <c r="M71" s="44"/>
      <c r="N71" s="44"/>
      <c r="O71" s="44"/>
      <c r="P71" s="44"/>
      <c r="Q71" s="44"/>
      <c r="R71" s="44"/>
      <c r="S71" s="44"/>
      <c r="T71" s="44"/>
      <c r="U71" s="44"/>
      <c r="V71" s="44"/>
      <c r="W71" s="44"/>
      <c r="X71" s="44"/>
      <c r="Y71" s="44"/>
      <c r="Z71" s="44"/>
      <c r="AA71" s="44"/>
    </row>
    <row r="72">
      <c r="B72" s="13">
        <v>1241.0</v>
      </c>
      <c r="C72" s="1">
        <v>-1074.0</v>
      </c>
      <c r="D72" s="14" t="str">
        <f>HYPERLINK("https://c2.3gokushi.jp/map.php?x="&amp;B72&amp;"&amp;y="&amp;C72,"MAP")</f>
        <v>MAP</v>
      </c>
      <c r="J72" s="44"/>
      <c r="K72" s="44"/>
      <c r="L72" s="44"/>
      <c r="M72" s="44"/>
      <c r="N72" s="44"/>
      <c r="O72" s="44"/>
      <c r="P72" s="44"/>
      <c r="Q72" s="44"/>
      <c r="R72" s="44"/>
      <c r="S72" s="44"/>
      <c r="T72" s="44"/>
      <c r="U72" s="44"/>
      <c r="V72" s="44"/>
      <c r="W72" s="44"/>
      <c r="X72" s="44"/>
      <c r="Y72" s="44"/>
      <c r="Z72" s="44"/>
      <c r="AA72" s="44"/>
    </row>
    <row r="73">
      <c r="B73" s="16" t="str">
        <f>HYPERLINK("https://c2.3gokushi.jp/auto_send_troop/index.php?x=" &amp; B72 &amp;"&amp;y=" &amp; C72,"自動出兵ｼｮｰﾄｶｯﾄ")</f>
        <v>自動出兵ｼｮｰﾄｶｯﾄ</v>
      </c>
      <c r="D73" s="17"/>
      <c r="J73" s="44"/>
      <c r="K73" s="44"/>
      <c r="L73" s="44"/>
      <c r="M73" s="44"/>
      <c r="N73" s="44"/>
      <c r="O73" s="44"/>
      <c r="P73" s="44"/>
      <c r="Q73" s="44"/>
      <c r="R73" s="44"/>
      <c r="S73" s="44"/>
      <c r="T73" s="44"/>
      <c r="U73" s="44"/>
      <c r="V73" s="44"/>
      <c r="W73" s="44"/>
      <c r="X73" s="44"/>
      <c r="Y73" s="44"/>
      <c r="Z73" s="44"/>
      <c r="AA73" s="44"/>
    </row>
    <row r="74">
      <c r="B74" s="9"/>
      <c r="C74" s="10"/>
      <c r="D74" s="11"/>
      <c r="J74" s="44"/>
      <c r="K74" s="44"/>
      <c r="L74" s="44"/>
      <c r="M74" s="44"/>
      <c r="N74" s="44"/>
      <c r="O74" s="44"/>
      <c r="P74" s="44"/>
      <c r="Q74" s="44"/>
      <c r="R74" s="44"/>
      <c r="S74" s="44"/>
      <c r="T74" s="44"/>
      <c r="U74" s="44"/>
      <c r="V74" s="44"/>
      <c r="W74" s="44"/>
      <c r="X74" s="44"/>
      <c r="Y74" s="44"/>
      <c r="Z74" s="44"/>
      <c r="AA74" s="44"/>
    </row>
    <row r="75">
      <c r="B75" s="13">
        <v>1249.0</v>
      </c>
      <c r="C75" s="1">
        <v>-1123.0</v>
      </c>
      <c r="D75" s="14" t="str">
        <f>HYPERLINK("https://c2.3gokushi.jp/map.php?x="&amp;B75&amp;"&amp;y="&amp;C75,"MAP")</f>
        <v>MAP</v>
      </c>
      <c r="J75" s="44"/>
      <c r="K75" s="44"/>
      <c r="L75" s="44"/>
      <c r="M75" s="44"/>
      <c r="N75" s="44"/>
      <c r="O75" s="44"/>
      <c r="P75" s="44"/>
      <c r="Q75" s="44"/>
      <c r="R75" s="44"/>
      <c r="S75" s="44"/>
      <c r="T75" s="44"/>
      <c r="U75" s="44"/>
      <c r="V75" s="44"/>
      <c r="W75" s="44"/>
      <c r="X75" s="44"/>
      <c r="Y75" s="44"/>
      <c r="Z75" s="44"/>
      <c r="AA75" s="44"/>
    </row>
    <row r="76">
      <c r="B76" s="16" t="str">
        <f>HYPERLINK("https://c2.3gokushi.jp/auto_send_troop/index.php?x=" &amp; B75 &amp;"&amp;y=" &amp; C75,"自動出兵ｼｮｰﾄｶｯﾄ")</f>
        <v>自動出兵ｼｮｰﾄｶｯﾄ</v>
      </c>
      <c r="D76" s="17"/>
      <c r="J76" s="44"/>
      <c r="K76" s="44"/>
      <c r="L76" s="44"/>
      <c r="M76" s="44"/>
      <c r="N76" s="44"/>
      <c r="O76" s="44"/>
      <c r="P76" s="44"/>
      <c r="Q76" s="44"/>
      <c r="R76" s="44"/>
      <c r="S76" s="44"/>
      <c r="T76" s="44"/>
      <c r="U76" s="44"/>
      <c r="V76" s="44"/>
      <c r="W76" s="44"/>
      <c r="X76" s="44"/>
      <c r="Y76" s="44"/>
      <c r="Z76" s="44"/>
      <c r="AA76" s="44"/>
    </row>
    <row r="77">
      <c r="B77" s="9"/>
      <c r="C77" s="10"/>
      <c r="D77" s="11"/>
    </row>
    <row r="78">
      <c r="B78" s="13">
        <v>1257.0</v>
      </c>
      <c r="C78" s="1">
        <v>-1172.0</v>
      </c>
      <c r="D78" s="14" t="str">
        <f>HYPERLINK("https://c2.3gokushi.jp/map.php?x="&amp;B78&amp;"&amp;y="&amp;C78,"MAP")</f>
        <v>MAP</v>
      </c>
    </row>
    <row r="79">
      <c r="B79" s="16" t="str">
        <f>HYPERLINK("https://c2.3gokushi.jp/auto_send_troop/index.php?x=" &amp; B78 &amp;"&amp;y=" &amp; C78,"自動出兵ｼｮｰﾄｶｯﾄ")</f>
        <v>自動出兵ｼｮｰﾄｶｯﾄ</v>
      </c>
      <c r="D79" s="17"/>
    </row>
    <row r="80">
      <c r="B80" s="9"/>
      <c r="C80" s="10"/>
      <c r="D80" s="11"/>
    </row>
    <row r="81">
      <c r="B81" s="13">
        <v>1265.0</v>
      </c>
      <c r="C81" s="1">
        <v>-1221.0</v>
      </c>
      <c r="D81" s="14" t="str">
        <f>HYPERLINK("https://c2.3gokushi.jp/map.php?x="&amp;B81&amp;"&amp;y="&amp;C81,"MAP")</f>
        <v>MAP</v>
      </c>
    </row>
    <row r="82">
      <c r="B82" s="73" t="str">
        <f>HYPERLINK("https://c2.3gokushi.jp/auto_send_troop/index.php?x=" &amp; B81 &amp;"&amp;y=" &amp; C81,"自動出兵ｼｮｰﾄｶｯﾄ")</f>
        <v>自動出兵ｼｮｰﾄｶｯﾄ</v>
      </c>
      <c r="C82" s="74"/>
      <c r="D82" s="75"/>
    </row>
  </sheetData>
  <mergeCells count="118">
    <mergeCell ref="B31:D31"/>
    <mergeCell ref="B32:D32"/>
    <mergeCell ref="B34:D34"/>
    <mergeCell ref="B35:D35"/>
    <mergeCell ref="B37:D37"/>
    <mergeCell ref="B38:D38"/>
    <mergeCell ref="B40:D40"/>
    <mergeCell ref="B41:D41"/>
    <mergeCell ref="B43:D43"/>
    <mergeCell ref="B44:D44"/>
    <mergeCell ref="B46:D46"/>
    <mergeCell ref="B47:D47"/>
    <mergeCell ref="B49:D49"/>
    <mergeCell ref="B50:D50"/>
    <mergeCell ref="B52:D52"/>
    <mergeCell ref="B53:D53"/>
    <mergeCell ref="B55:D55"/>
    <mergeCell ref="B56:D56"/>
    <mergeCell ref="B58:D58"/>
    <mergeCell ref="B59:D59"/>
    <mergeCell ref="B61:D61"/>
    <mergeCell ref="B73:D73"/>
    <mergeCell ref="B74:D74"/>
    <mergeCell ref="B76:D76"/>
    <mergeCell ref="B77:D77"/>
    <mergeCell ref="B79:D79"/>
    <mergeCell ref="B80:D80"/>
    <mergeCell ref="B82:D82"/>
    <mergeCell ref="B62:D62"/>
    <mergeCell ref="B64:D64"/>
    <mergeCell ref="B65:D65"/>
    <mergeCell ref="B67:D67"/>
    <mergeCell ref="B68:D68"/>
    <mergeCell ref="B70:D70"/>
    <mergeCell ref="B71:D71"/>
    <mergeCell ref="J37:L37"/>
    <mergeCell ref="J38:L38"/>
    <mergeCell ref="N38:P38"/>
    <mergeCell ref="J40:L40"/>
    <mergeCell ref="N40:P40"/>
    <mergeCell ref="R41:T41"/>
    <mergeCell ref="V41:X41"/>
    <mergeCell ref="N44:P44"/>
    <mergeCell ref="N47:P47"/>
    <mergeCell ref="N49:P49"/>
    <mergeCell ref="N50:P50"/>
    <mergeCell ref="N52:P52"/>
    <mergeCell ref="V46:X46"/>
    <mergeCell ref="V47:X47"/>
    <mergeCell ref="N41:P41"/>
    <mergeCell ref="N43:P43"/>
    <mergeCell ref="R43:T43"/>
    <mergeCell ref="V43:X43"/>
    <mergeCell ref="R44:T44"/>
    <mergeCell ref="V44:X44"/>
    <mergeCell ref="R47:T47"/>
    <mergeCell ref="F53:H53"/>
    <mergeCell ref="F55:H55"/>
    <mergeCell ref="F56:H56"/>
    <mergeCell ref="F58:H58"/>
    <mergeCell ref="F62:H62"/>
    <mergeCell ref="F64:H64"/>
    <mergeCell ref="F65:H65"/>
    <mergeCell ref="F67:H67"/>
    <mergeCell ref="R55:T55"/>
    <mergeCell ref="R56:T56"/>
    <mergeCell ref="R58:T58"/>
    <mergeCell ref="R59:T59"/>
    <mergeCell ref="R61:T61"/>
    <mergeCell ref="R49:T49"/>
    <mergeCell ref="V49:X49"/>
    <mergeCell ref="R50:T50"/>
    <mergeCell ref="V50:X50"/>
    <mergeCell ref="R52:T52"/>
    <mergeCell ref="V52:X52"/>
    <mergeCell ref="R53:T53"/>
    <mergeCell ref="B2:D2"/>
    <mergeCell ref="B3:D3"/>
    <mergeCell ref="B5:D5"/>
    <mergeCell ref="B7:D7"/>
    <mergeCell ref="B8:D8"/>
    <mergeCell ref="B10:D10"/>
    <mergeCell ref="B11:D11"/>
    <mergeCell ref="J22:L22"/>
    <mergeCell ref="J23:L23"/>
    <mergeCell ref="J25:L25"/>
    <mergeCell ref="F26:H26"/>
    <mergeCell ref="J26:L26"/>
    <mergeCell ref="B13:D13"/>
    <mergeCell ref="B14:D14"/>
    <mergeCell ref="J14:L14"/>
    <mergeCell ref="J16:L16"/>
    <mergeCell ref="J17:L17"/>
    <mergeCell ref="J19:L19"/>
    <mergeCell ref="J20:L20"/>
    <mergeCell ref="B26:D26"/>
    <mergeCell ref="B28:D28"/>
    <mergeCell ref="F28:H28"/>
    <mergeCell ref="J28:L28"/>
    <mergeCell ref="B29:D29"/>
    <mergeCell ref="F29:H29"/>
    <mergeCell ref="J29:L29"/>
    <mergeCell ref="B16:D16"/>
    <mergeCell ref="B17:D17"/>
    <mergeCell ref="B19:D19"/>
    <mergeCell ref="B20:D20"/>
    <mergeCell ref="B22:D22"/>
    <mergeCell ref="B23:D23"/>
    <mergeCell ref="B25:D25"/>
    <mergeCell ref="F31:H31"/>
    <mergeCell ref="J31:L31"/>
    <mergeCell ref="J32:L32"/>
    <mergeCell ref="J34:L34"/>
    <mergeCell ref="J35:L35"/>
    <mergeCell ref="N35:P35"/>
    <mergeCell ref="N37:P37"/>
    <mergeCell ref="N46:P46"/>
    <mergeCell ref="R46:T46"/>
  </mergeCells>
  <hyperlinks>
    <hyperlink display="使用方法等は目次・取説タブ参照のこと" location="'目次・取説'!A1" ref="N1"/>
    <hyperlink display="目次・取説" location="'目次・取説'!A1" ref="F3"/>
    <hyperlink display="南・朱雀・長沙" location="'南ルート '!A1" ref="F5"/>
    <hyperlink display="南東裏幹線" location="'南東砦隣接分岐用（裏）'!A1" ref="F7"/>
    <hyperlink r:id="rId1" location="gid=2039700677" ref="J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1" width="4.88"/>
  </cols>
  <sheetData>
    <row r="1">
      <c r="B1" s="27" t="s">
        <v>28</v>
      </c>
      <c r="N1" s="28" t="s">
        <v>29</v>
      </c>
    </row>
    <row r="2" ht="15.0" customHeight="1">
      <c r="B2" s="76" t="s">
        <v>56</v>
      </c>
      <c r="C2" s="77"/>
      <c r="D2" s="78"/>
      <c r="E2" s="30"/>
      <c r="F2" s="30" t="s">
        <v>1</v>
      </c>
      <c r="G2" s="30"/>
      <c r="H2" s="30"/>
      <c r="I2" s="30"/>
      <c r="J2" s="30"/>
      <c r="K2" s="30"/>
      <c r="L2" s="30"/>
      <c r="M2" s="30"/>
      <c r="N2" s="30"/>
      <c r="O2" s="30"/>
      <c r="P2" s="30"/>
      <c r="Q2" s="30"/>
      <c r="R2" s="30"/>
      <c r="S2" s="30"/>
      <c r="T2" s="30"/>
      <c r="U2" s="30"/>
    </row>
    <row r="3" ht="15.0" customHeight="1">
      <c r="B3" s="79" t="s">
        <v>31</v>
      </c>
      <c r="D3" s="80"/>
      <c r="E3" s="30"/>
      <c r="F3" s="32" t="s">
        <v>32</v>
      </c>
      <c r="G3" s="30"/>
      <c r="H3" s="30"/>
      <c r="I3" s="30"/>
      <c r="J3" s="30"/>
      <c r="K3" s="30"/>
      <c r="L3" s="30"/>
      <c r="M3" s="30"/>
      <c r="N3" s="30"/>
      <c r="O3" s="30"/>
      <c r="P3" s="30"/>
      <c r="Q3" s="30"/>
      <c r="R3" s="30"/>
      <c r="U3" s="81"/>
    </row>
    <row r="4" ht="15.0" customHeight="1">
      <c r="B4" s="82" t="s">
        <v>33</v>
      </c>
      <c r="C4" s="83" t="s">
        <v>34</v>
      </c>
      <c r="D4" s="84"/>
      <c r="F4" s="36"/>
      <c r="S4" s="37"/>
      <c r="T4" s="37"/>
      <c r="U4" s="85"/>
    </row>
    <row r="5" ht="15.0" customHeight="1">
      <c r="A5" s="1" t="s">
        <v>11</v>
      </c>
      <c r="B5" s="86"/>
      <c r="C5" s="77"/>
      <c r="D5" s="78"/>
      <c r="F5" s="87" t="s">
        <v>2</v>
      </c>
      <c r="G5" s="37"/>
      <c r="H5" s="37"/>
      <c r="I5" s="37"/>
      <c r="J5" s="37"/>
      <c r="K5" s="37"/>
      <c r="L5" s="37"/>
      <c r="M5" s="37"/>
      <c r="N5" s="37"/>
      <c r="O5" s="37"/>
      <c r="P5" s="37"/>
      <c r="Q5" s="37"/>
      <c r="R5" s="37"/>
      <c r="U5" s="81"/>
    </row>
    <row r="6" ht="15.0" customHeight="1">
      <c r="A6" s="1" t="s">
        <v>14</v>
      </c>
      <c r="B6" s="88">
        <v>80.0</v>
      </c>
      <c r="C6" s="1">
        <v>-850.0</v>
      </c>
      <c r="D6" s="89" t="str">
        <f>HYPERLINK("https://c2.3gokushi.jp/map.php?x="&amp;B6&amp;"&amp;y="&amp;C6,"MAP")</f>
        <v>MAP</v>
      </c>
      <c r="F6" s="36"/>
      <c r="G6" s="38"/>
      <c r="S6" s="30"/>
      <c r="T6" s="30"/>
      <c r="U6" s="85"/>
    </row>
    <row r="7" ht="15.0" customHeight="1">
      <c r="A7" s="1" t="s">
        <v>15</v>
      </c>
      <c r="B7" s="90" t="str">
        <f>HYPERLINK("https://c2.3gokushi.jp/auto_send_troop/index.php?x=" &amp; B6 &amp;"&amp;y=" &amp; C6,"自動出兵ｼｮｰﾄｶｯﾄ")</f>
        <v>自動出兵ｼｮｰﾄｶｯﾄ</v>
      </c>
      <c r="C7" s="91"/>
      <c r="D7" s="92"/>
      <c r="F7" s="32" t="s">
        <v>4</v>
      </c>
      <c r="G7" s="38"/>
      <c r="H7" s="30"/>
      <c r="I7" s="30"/>
      <c r="J7" s="30"/>
      <c r="K7" s="30"/>
      <c r="L7" s="30"/>
      <c r="M7" s="30"/>
      <c r="N7" s="30"/>
      <c r="O7" s="30"/>
      <c r="P7" s="30"/>
      <c r="Q7" s="30"/>
      <c r="R7" s="30"/>
      <c r="S7" s="41"/>
      <c r="T7" s="41"/>
      <c r="U7" s="81"/>
    </row>
    <row r="8" ht="15.0" customHeight="1">
      <c r="B8" s="86"/>
      <c r="C8" s="77"/>
      <c r="D8" s="78"/>
      <c r="E8" s="41"/>
      <c r="F8" s="38"/>
      <c r="G8" s="38"/>
      <c r="H8" s="41"/>
      <c r="I8" s="41"/>
      <c r="J8" s="41"/>
      <c r="K8" s="41"/>
      <c r="L8" s="41"/>
      <c r="M8" s="41"/>
      <c r="N8" s="41"/>
      <c r="O8" s="41"/>
      <c r="P8" s="41"/>
      <c r="Q8" s="41"/>
      <c r="R8" s="41"/>
      <c r="U8" s="81"/>
    </row>
    <row r="9" ht="15.0" customHeight="1">
      <c r="B9" s="88">
        <v>80.0</v>
      </c>
      <c r="C9" s="1">
        <v>-850.0</v>
      </c>
      <c r="D9" s="89" t="str">
        <f>HYPERLINK("https://c2.3gokushi.jp/map.php?x="&amp;B9&amp;"&amp;y="&amp;C9,"MAP")</f>
        <v>MAP</v>
      </c>
      <c r="F9" s="93" t="s">
        <v>57</v>
      </c>
      <c r="G9" s="38"/>
      <c r="S9" s="30"/>
      <c r="T9" s="30"/>
      <c r="U9" s="85"/>
    </row>
    <row r="10" ht="15.0" customHeight="1">
      <c r="B10" s="90" t="str">
        <f>HYPERLINK("https://c2.3gokushi.jp/auto_send_troop/index.php?x=" &amp; B9 &amp;"&amp;y=" &amp; C9,"自動出兵ｼｮｰﾄｶｯﾄ")</f>
        <v>自動出兵ｼｮｰﾄｶｯﾄ</v>
      </c>
      <c r="C10" s="91"/>
      <c r="D10" s="92"/>
      <c r="E10" s="30"/>
      <c r="F10" s="93" t="s">
        <v>58</v>
      </c>
      <c r="G10" s="38"/>
      <c r="H10" s="30"/>
      <c r="I10" s="30"/>
      <c r="J10" s="30"/>
      <c r="K10" s="30"/>
      <c r="L10" s="30"/>
      <c r="M10" s="30"/>
      <c r="N10" s="30"/>
      <c r="O10" s="30"/>
      <c r="P10" s="30"/>
      <c r="Q10" s="30"/>
      <c r="R10" s="30"/>
      <c r="S10" s="41"/>
      <c r="T10" s="41"/>
      <c r="U10" s="81"/>
    </row>
    <row r="11" ht="15.0" customHeight="1">
      <c r="B11" s="86"/>
      <c r="C11" s="77"/>
      <c r="D11" s="78"/>
      <c r="E11" s="41"/>
      <c r="F11" s="94" t="s">
        <v>59</v>
      </c>
      <c r="H11" s="41"/>
      <c r="I11" s="41"/>
      <c r="J11" s="41"/>
      <c r="K11" s="41"/>
      <c r="L11" s="41"/>
      <c r="M11" s="41"/>
      <c r="N11" s="41"/>
      <c r="O11" s="41"/>
      <c r="Q11" s="41"/>
      <c r="R11" s="41"/>
      <c r="U11" s="81"/>
    </row>
    <row r="12" ht="15.0" customHeight="1">
      <c r="B12" s="88">
        <v>80.0</v>
      </c>
      <c r="C12" s="1">
        <v>-850.0</v>
      </c>
      <c r="D12" s="89" t="str">
        <f>HYPERLINK("https://c2.3gokushi.jp/map.php?x="&amp;B12&amp;"&amp;y="&amp;C12,"MAP")</f>
        <v>MAP</v>
      </c>
      <c r="P12" s="30"/>
      <c r="S12" s="30"/>
      <c r="T12" s="30"/>
      <c r="U12" s="85"/>
    </row>
    <row r="13" ht="15.0" customHeight="1">
      <c r="B13" s="90" t="str">
        <f>HYPERLINK("https://c2.3gokushi.jp/auto_send_troop/index.php?x=" &amp; B12 &amp;"&amp;y=" &amp; C12,"自動出兵ｼｮｰﾄｶｯﾄ")</f>
        <v>自動出兵ｼｮｰﾄｶｯﾄ</v>
      </c>
      <c r="C13" s="91"/>
      <c r="D13" s="92"/>
      <c r="E13" s="30"/>
      <c r="H13" s="30"/>
      <c r="I13" s="95"/>
      <c r="J13" s="30"/>
      <c r="K13" s="30"/>
      <c r="L13" s="30"/>
      <c r="O13" s="30"/>
      <c r="Q13" s="30"/>
      <c r="R13" s="30"/>
      <c r="S13" s="96"/>
      <c r="T13" s="96"/>
      <c r="U13" s="81"/>
    </row>
    <row r="14" ht="15.0" customHeight="1">
      <c r="B14" s="86"/>
      <c r="C14" s="77"/>
      <c r="D14" s="78"/>
      <c r="E14" s="30"/>
      <c r="L14" s="96"/>
      <c r="O14" s="96"/>
      <c r="P14" s="30"/>
      <c r="Q14" s="96"/>
      <c r="R14" s="96"/>
      <c r="U14" s="81"/>
    </row>
    <row r="15" ht="15.0" customHeight="1">
      <c r="B15" s="88">
        <v>80.0</v>
      </c>
      <c r="C15" s="1">
        <v>-850.0</v>
      </c>
      <c r="D15" s="89" t="str">
        <f>HYPERLINK("https://c2.3gokushi.jp/map.php?x="&amp;B15&amp;"&amp;y="&amp;C15,"MAP")</f>
        <v>MAP</v>
      </c>
      <c r="H15" s="30"/>
      <c r="I15" s="30"/>
      <c r="J15" s="30"/>
      <c r="K15" s="30"/>
      <c r="S15" s="95"/>
      <c r="T15" s="95"/>
      <c r="U15" s="85"/>
    </row>
    <row r="16" ht="15.0" customHeight="1">
      <c r="B16" s="90" t="str">
        <f>HYPERLINK("https://c2.3gokushi.jp/auto_send_troop/index.php?x=" &amp; B15 &amp;"&amp;y=" &amp; C15,"自動出兵ｼｮｰﾄｶｯﾄ")</f>
        <v>自動出兵ｼｮｰﾄｶｯﾄ</v>
      </c>
      <c r="C16" s="91"/>
      <c r="D16" s="92"/>
      <c r="E16" s="30"/>
      <c r="H16" s="41"/>
      <c r="I16" s="41"/>
      <c r="J16" s="41"/>
      <c r="K16" s="41"/>
      <c r="L16" s="30"/>
      <c r="O16" s="30"/>
      <c r="P16" s="30"/>
      <c r="Q16" s="95"/>
      <c r="R16" s="30"/>
      <c r="S16" s="41"/>
      <c r="T16" s="41"/>
      <c r="U16" s="81"/>
    </row>
    <row r="17" ht="15.0" customHeight="1">
      <c r="B17" s="86"/>
      <c r="C17" s="77"/>
      <c r="D17" s="78"/>
      <c r="E17" s="41"/>
      <c r="L17" s="41"/>
      <c r="O17" s="41"/>
      <c r="P17" s="30"/>
      <c r="Q17" s="41"/>
      <c r="R17" s="41"/>
      <c r="U17" s="81"/>
    </row>
    <row r="18" ht="15.0" customHeight="1">
      <c r="B18" s="88">
        <v>80.0</v>
      </c>
      <c r="C18" s="1">
        <v>-850.0</v>
      </c>
      <c r="D18" s="89" t="str">
        <f>HYPERLINK("https://c2.3gokushi.jp/map.php?x="&amp;B18&amp;"&amp;y="&amp;C18,"MAP")</f>
        <v>MAP</v>
      </c>
      <c r="S18" s="30"/>
      <c r="T18" s="30"/>
      <c r="U18" s="85"/>
    </row>
    <row r="19" ht="15.0" customHeight="1">
      <c r="B19" s="90" t="str">
        <f>HYPERLINK("https://c2.3gokushi.jp/auto_send_troop/index.php?x=" &amp; B18 &amp;"&amp;y=" &amp; C18,"自動出兵ｼｮｰﾄｶｯﾄ")</f>
        <v>自動出兵ｼｮｰﾄｶｯﾄ</v>
      </c>
      <c r="C19" s="91"/>
      <c r="D19" s="92"/>
      <c r="E19" s="30"/>
      <c r="H19" s="30"/>
      <c r="I19" s="30"/>
      <c r="J19" s="30"/>
      <c r="K19" s="30"/>
      <c r="L19" s="30"/>
      <c r="O19" s="30"/>
      <c r="P19" s="30"/>
      <c r="Q19" s="30"/>
      <c r="R19" s="30"/>
      <c r="S19" s="41"/>
      <c r="T19" s="41"/>
      <c r="U19" s="30"/>
    </row>
    <row r="20" ht="15.0" customHeight="1">
      <c r="B20" s="86"/>
      <c r="C20" s="77"/>
      <c r="D20" s="78"/>
      <c r="E20" s="41"/>
      <c r="H20" s="41"/>
      <c r="I20" s="41"/>
      <c r="J20" s="41"/>
      <c r="K20" s="41"/>
      <c r="L20" s="41"/>
      <c r="O20" s="41"/>
      <c r="Q20" s="41"/>
      <c r="R20" s="41"/>
      <c r="S20" s="41"/>
      <c r="T20" s="41"/>
      <c r="U20" s="41"/>
    </row>
    <row r="21" ht="15.0" customHeight="1">
      <c r="B21" s="88">
        <v>80.0</v>
      </c>
      <c r="C21" s="1">
        <v>-850.0</v>
      </c>
      <c r="D21" s="89" t="str">
        <f>HYPERLINK("https://c2.3gokushi.jp/map.php?x="&amp;B21&amp;"&amp;y="&amp;C21,"MAP")</f>
        <v>MAP</v>
      </c>
      <c r="P21" s="30"/>
      <c r="Q21" s="95"/>
    </row>
    <row r="22" ht="15.0" customHeight="1">
      <c r="B22" s="90" t="str">
        <f>HYPERLINK("https://c2.3gokushi.jp/auto_send_troop/index.php?x=" &amp; B21 &amp;"&amp;y=" &amp; C21,"自動出兵ｼｮｰﾄｶｯﾄ")</f>
        <v>自動出兵ｼｮｰﾄｶｯﾄ</v>
      </c>
      <c r="C22" s="91"/>
      <c r="D22" s="92"/>
      <c r="E22" s="30"/>
      <c r="H22" s="30"/>
      <c r="I22" s="30"/>
      <c r="J22" s="30"/>
      <c r="K22" s="30"/>
      <c r="L22" s="30"/>
      <c r="O22" s="30"/>
      <c r="Q22" s="30"/>
      <c r="R22" s="30"/>
      <c r="S22" s="30"/>
      <c r="T22" s="30"/>
      <c r="U22" s="30"/>
    </row>
    <row r="23" ht="15.0" customHeight="1">
      <c r="B23" s="86"/>
      <c r="C23" s="77"/>
      <c r="D23" s="78"/>
      <c r="E23" s="41"/>
      <c r="H23" s="41"/>
      <c r="I23" s="41"/>
      <c r="J23" s="41"/>
      <c r="K23" s="41"/>
      <c r="L23" s="41"/>
      <c r="O23" s="41"/>
      <c r="P23" s="30"/>
      <c r="Q23" s="41"/>
      <c r="R23" s="41"/>
      <c r="S23" s="41"/>
      <c r="T23" s="41"/>
      <c r="U23" s="41"/>
    </row>
    <row r="24" ht="15.0" customHeight="1">
      <c r="B24" s="88">
        <v>80.0</v>
      </c>
      <c r="C24" s="1">
        <v>-850.0</v>
      </c>
      <c r="D24" s="89" t="str">
        <f>HYPERLINK("https://c2.3gokushi.jp/map.php?x="&amp;B24&amp;"&amp;y="&amp;C24,"MAP")</f>
        <v>MAP</v>
      </c>
    </row>
    <row r="25" ht="15.0" customHeight="1">
      <c r="B25" s="90" t="str">
        <f>HYPERLINK("https://c2.3gokushi.jp/auto_send_troop/index.php?x=" &amp; B24 &amp;"&amp;y=" &amp; C24,"自動出兵ｼｮｰﾄｶｯﾄ")</f>
        <v>自動出兵ｼｮｰﾄｶｯﾄ</v>
      </c>
      <c r="C25" s="91"/>
      <c r="D25" s="92"/>
      <c r="E25" s="30"/>
      <c r="H25" s="30"/>
      <c r="I25" s="30"/>
      <c r="J25" s="30"/>
      <c r="K25" s="30"/>
      <c r="L25" s="30"/>
      <c r="O25" s="30"/>
      <c r="P25" s="30"/>
      <c r="Q25" s="30"/>
      <c r="R25" s="30"/>
      <c r="S25" s="30"/>
      <c r="T25" s="30"/>
      <c r="U25" s="30"/>
    </row>
    <row r="26" ht="15.0" customHeight="1">
      <c r="B26" s="86"/>
      <c r="C26" s="77"/>
      <c r="D26" s="78"/>
      <c r="E26" s="30"/>
    </row>
    <row r="27" ht="15.0" customHeight="1">
      <c r="B27" s="88">
        <v>80.0</v>
      </c>
      <c r="C27" s="1">
        <v>-850.0</v>
      </c>
      <c r="D27" s="89" t="str">
        <f>HYPERLINK("https://c2.3gokushi.jp/map.php?x="&amp;B27&amp;"&amp;y="&amp;C27,"MAP")</f>
        <v>MAP</v>
      </c>
      <c r="P27" s="30"/>
    </row>
    <row r="28" ht="15.0" customHeight="1">
      <c r="B28" s="90" t="str">
        <f>HYPERLINK("https://c2.3gokushi.jp/auto_send_troop/index.php?x=" &amp; B27 &amp;"&amp;y=" &amp; C27,"自動出兵ｼｮｰﾄｶｯﾄ")</f>
        <v>自動出兵ｼｮｰﾄｶｯﾄ</v>
      </c>
      <c r="C28" s="91"/>
      <c r="D28" s="92"/>
      <c r="E28" s="1"/>
      <c r="H28" s="1"/>
      <c r="I28" s="1" t="s">
        <v>60</v>
      </c>
      <c r="J28" s="1"/>
      <c r="K28" s="1"/>
      <c r="L28" s="1"/>
      <c r="O28" s="1"/>
      <c r="Q28" s="1"/>
      <c r="R28" s="1"/>
      <c r="S28" s="1"/>
      <c r="T28" s="1"/>
      <c r="U28" s="1"/>
    </row>
    <row r="29" ht="15.0" customHeight="1">
      <c r="B29" s="86"/>
      <c r="C29" s="77"/>
      <c r="D29" s="78"/>
      <c r="E29" s="30" t="s">
        <v>41</v>
      </c>
      <c r="F29" s="1" t="s">
        <v>60</v>
      </c>
      <c r="H29" s="96"/>
      <c r="I29" s="97"/>
      <c r="J29" s="51"/>
      <c r="K29" s="52"/>
      <c r="L29" s="1" t="s">
        <v>11</v>
      </c>
      <c r="P29" s="30"/>
    </row>
    <row r="30" ht="15.0" customHeight="1">
      <c r="B30" s="88">
        <v>80.0</v>
      </c>
      <c r="C30" s="1">
        <v>-850.0</v>
      </c>
      <c r="D30" s="89" t="str">
        <f>HYPERLINK("https://c2.3gokushi.jp/map.php?x="&amp;B30&amp;"&amp;y="&amp;C30,"MAP")</f>
        <v>MAP</v>
      </c>
      <c r="I30" s="98">
        <v>80.0</v>
      </c>
      <c r="J30" s="1">
        <v>-720.0</v>
      </c>
      <c r="K30" s="89" t="str">
        <f>HYPERLINK("https://c2.3gokushi.jp/map.php?x="&amp;I30&amp;"&amp;y="&amp;J30,"MAP")</f>
        <v>MAP</v>
      </c>
      <c r="L30" s="1" t="s">
        <v>14</v>
      </c>
    </row>
    <row r="31" ht="15.0" customHeight="1">
      <c r="B31" s="90" t="str">
        <f>HYPERLINK("https://c2.3gokushi.jp/auto_send_troop/index.php?x=" &amp; B30 &amp;"&amp;y=" &amp; C30,"自動出兵ｼｮｰﾄｶｯﾄ")</f>
        <v>自動出兵ｼｮｰﾄｶｯﾄ</v>
      </c>
      <c r="C31" s="91"/>
      <c r="D31" s="92"/>
      <c r="E31" s="30"/>
      <c r="H31" s="30"/>
      <c r="I31" s="99" t="str">
        <f>HYPERLINK("https://c2.3gokushi.jp/auto_send_troop/index.php?x=" &amp; I30 &amp;"&amp;y=" &amp; J30,"自動出兵ｼｮｰﾄｶｯﾄ")</f>
        <v>自動出兵ｼｮｰﾄｶｯﾄ</v>
      </c>
      <c r="J31" s="61"/>
      <c r="K31" s="62"/>
      <c r="L31" s="1" t="s">
        <v>15</v>
      </c>
      <c r="P31" s="30"/>
    </row>
    <row r="32" ht="15.0" customHeight="1">
      <c r="B32" s="86"/>
      <c r="C32" s="77"/>
      <c r="D32" s="78"/>
      <c r="E32" s="41"/>
      <c r="H32" s="41"/>
      <c r="I32" s="97"/>
      <c r="J32" s="51"/>
      <c r="K32" s="52"/>
      <c r="N32" s="1"/>
      <c r="O32" s="1"/>
      <c r="Q32" s="1"/>
      <c r="R32" s="1"/>
      <c r="S32" s="1"/>
      <c r="T32" s="1"/>
      <c r="U32" s="1"/>
    </row>
    <row r="33" ht="15.0" customHeight="1">
      <c r="B33" s="88">
        <v>80.0</v>
      </c>
      <c r="C33" s="1">
        <v>-850.0</v>
      </c>
      <c r="D33" s="89" t="str">
        <f>HYPERLINK("https://c2.3gokushi.jp/map.php?x="&amp;B33&amp;"&amp;y="&amp;C33,"MAP")</f>
        <v>MAP</v>
      </c>
      <c r="I33" s="98">
        <v>23.0</v>
      </c>
      <c r="J33" s="1">
        <v>-780.0</v>
      </c>
      <c r="K33" s="89" t="str">
        <f>HYPERLINK("https://c2.3gokushi.jp/map.php?x="&amp;I33&amp;"&amp;y="&amp;J33,"MAP")</f>
        <v>MAP</v>
      </c>
      <c r="L33" s="1" t="s">
        <v>46</v>
      </c>
      <c r="P33" s="30"/>
    </row>
    <row r="34" ht="15.0" customHeight="1">
      <c r="B34" s="90" t="str">
        <f>HYPERLINK("https://c2.3gokushi.jp/auto_send_troop/index.php?x=" &amp; B33 &amp;"&amp;y=" &amp; C33,"自動出兵ｼｮｰﾄｶｯﾄ")</f>
        <v>自動出兵ｼｮｰﾄｶｯﾄ</v>
      </c>
      <c r="C34" s="91"/>
      <c r="D34" s="92"/>
      <c r="I34" s="99" t="str">
        <f>HYPERLINK("https://c2.3gokushi.jp/auto_send_troop/index.php?x=" &amp; I33 &amp;"&amp;y=" &amp; J33,"自動出兵ｼｮｰﾄｶｯﾄ")</f>
        <v>自動出兵ｼｮｰﾄｶｯﾄ</v>
      </c>
      <c r="J34" s="61"/>
      <c r="K34" s="62"/>
      <c r="L34" s="1" t="s">
        <v>61</v>
      </c>
    </row>
    <row r="35" ht="15.0" customHeight="1">
      <c r="B35" s="86"/>
      <c r="C35" s="77"/>
      <c r="D35" s="78"/>
      <c r="F35" s="1"/>
      <c r="G35" s="1"/>
      <c r="P35" s="30"/>
    </row>
    <row r="36" ht="15.0" customHeight="1">
      <c r="B36" s="88">
        <v>80.0</v>
      </c>
      <c r="C36" s="1">
        <v>-850.0</v>
      </c>
      <c r="D36" s="89" t="str">
        <f>HYPERLINK("https://c2.3gokushi.jp/map.php?x="&amp;B36&amp;"&amp;y="&amp;C36,"MAP")</f>
        <v>MAP</v>
      </c>
      <c r="E36" s="1"/>
      <c r="H36" s="1"/>
      <c r="I36" s="1"/>
      <c r="J36" s="1"/>
      <c r="K36" s="1"/>
      <c r="L36" s="1"/>
      <c r="M36" s="1"/>
      <c r="N36" s="1"/>
      <c r="O36" s="1"/>
      <c r="Q36" s="1"/>
      <c r="R36" s="1"/>
      <c r="S36" s="1"/>
      <c r="T36" s="1"/>
      <c r="U36" s="1"/>
    </row>
    <row r="37" ht="15.0" customHeight="1">
      <c r="B37" s="90" t="str">
        <f>HYPERLINK("https://c2.3gokushi.jp/auto_send_troop/index.php?x=" &amp; B36 &amp;"&amp;y=" &amp; C36,"自動出兵ｼｮｰﾄｶｯﾄ")</f>
        <v>自動出兵ｼｮｰﾄｶｯﾄ</v>
      </c>
      <c r="C37" s="91"/>
      <c r="D37" s="92"/>
      <c r="P37" s="30"/>
    </row>
    <row r="38" ht="15.0" customHeight="1">
      <c r="B38" s="86"/>
      <c r="C38" s="77"/>
      <c r="D38" s="78"/>
    </row>
    <row r="39" ht="15.0" customHeight="1">
      <c r="B39" s="88">
        <v>80.0</v>
      </c>
      <c r="C39" s="1">
        <v>-850.0</v>
      </c>
      <c r="D39" s="89" t="str">
        <f>HYPERLINK("https://c2.3gokushi.jp/map.php?x="&amp;B39&amp;"&amp;y="&amp;C39,"MAP")</f>
        <v>MAP</v>
      </c>
      <c r="F39" s="1"/>
      <c r="G39" s="1"/>
      <c r="P39" s="30"/>
    </row>
    <row r="40" ht="15.0" customHeight="1">
      <c r="B40" s="90" t="str">
        <f>HYPERLINK("https://c2.3gokushi.jp/auto_send_troop/index.php?x=" &amp; B39 &amp;"&amp;y=" &amp; C39,"自動出兵ｼｮｰﾄｶｯﾄ")</f>
        <v>自動出兵ｼｮｰﾄｶｯﾄ</v>
      </c>
      <c r="C40" s="91"/>
      <c r="D40" s="92"/>
      <c r="E40" s="1"/>
      <c r="H40" s="1"/>
      <c r="I40" s="1"/>
      <c r="J40" s="1"/>
      <c r="K40" s="1"/>
      <c r="L40" s="1"/>
      <c r="M40" s="1"/>
      <c r="N40" s="1"/>
      <c r="O40" s="1"/>
      <c r="Q40" s="1"/>
      <c r="R40" s="1"/>
      <c r="S40" s="1"/>
      <c r="T40" s="1"/>
      <c r="U40" s="1"/>
    </row>
    <row r="41" ht="15.0" customHeight="1">
      <c r="B41" s="86"/>
      <c r="C41" s="77"/>
      <c r="D41" s="78"/>
      <c r="P41" s="1"/>
    </row>
    <row r="42">
      <c r="B42" s="88">
        <v>80.0</v>
      </c>
      <c r="C42" s="1">
        <v>-900.0</v>
      </c>
      <c r="D42" s="89" t="str">
        <f>HYPERLINK("https://c2.3gokushi.jp/map.php?x="&amp;B42&amp;"&amp;y="&amp;C42,"MAP")</f>
        <v>MAP</v>
      </c>
    </row>
    <row r="43">
      <c r="B43" s="90" t="str">
        <f>HYPERLINK("https://c2.3gokushi.jp/auto_send_troop/index.php?x=" &amp; B42 &amp;"&amp;y=" &amp; C42,"自動出兵ｼｮｰﾄｶｯﾄ")</f>
        <v>自動出兵ｼｮｰﾄｶｯﾄ</v>
      </c>
      <c r="C43" s="91"/>
      <c r="D43" s="92"/>
      <c r="F43" s="1"/>
      <c r="G43" s="1"/>
      <c r="I43" s="1" t="s">
        <v>62</v>
      </c>
      <c r="Q43" s="1" t="s">
        <v>63</v>
      </c>
    </row>
    <row r="44">
      <c r="B44" s="86"/>
      <c r="C44" s="77"/>
      <c r="D44" s="78"/>
      <c r="E44" s="1" t="s">
        <v>41</v>
      </c>
      <c r="F44" s="1" t="s">
        <v>64</v>
      </c>
      <c r="I44" s="97"/>
      <c r="J44" s="51"/>
      <c r="K44" s="52"/>
      <c r="M44" s="1" t="s">
        <v>41</v>
      </c>
      <c r="N44" s="1" t="s">
        <v>65</v>
      </c>
      <c r="P44" s="1"/>
      <c r="Q44" s="97"/>
      <c r="R44" s="51"/>
      <c r="S44" s="52"/>
      <c r="T44" s="1"/>
      <c r="U44" s="1"/>
    </row>
    <row r="45">
      <c r="B45" s="88">
        <v>80.0</v>
      </c>
      <c r="C45" s="1">
        <v>-950.0</v>
      </c>
      <c r="D45" s="89" t="str">
        <f>HYPERLINK("https://c2.3gokushi.jp/map.php?x="&amp;B45&amp;"&amp;y="&amp;C45,"MAP")</f>
        <v>MAP</v>
      </c>
      <c r="I45" s="98">
        <v>80.0</v>
      </c>
      <c r="J45" s="30">
        <v>-950.0</v>
      </c>
      <c r="K45" s="89" t="str">
        <f>HYPERLINK("https://c2.3gokushi.jp/map.php?x="&amp;I45&amp;"&amp;y="&amp;J45,"MAP")</f>
        <v>MAP</v>
      </c>
      <c r="Q45" s="98">
        <v>80.0</v>
      </c>
      <c r="R45" s="30">
        <v>-950.0</v>
      </c>
      <c r="S45" s="89" t="str">
        <f>HYPERLINK("https://c2.3gokushi.jp/map.php?x="&amp;Q45&amp;"&amp;y="&amp;R45,"MAP")</f>
        <v>MAP</v>
      </c>
    </row>
    <row r="46">
      <c r="B46" s="90" t="str">
        <f>HYPERLINK("https://c2.3gokushi.jp/auto_send_troop/index.php?x=" &amp; B45 &amp;"&amp;y=" &amp; C45,"自動出兵ｼｮｰﾄｶｯﾄ")</f>
        <v>自動出兵ｼｮｰﾄｶｯﾄ</v>
      </c>
      <c r="C46" s="91"/>
      <c r="D46" s="92"/>
      <c r="F46" s="1"/>
      <c r="G46" s="1"/>
      <c r="I46" s="99" t="str">
        <f>HYPERLINK("https://c2.3gokushi.jp/auto_send_troop/index.php?x=" &amp; I45 &amp;"&amp;y=" &amp; J45,"自動出兵ｼｮｰﾄｶｯﾄ")</f>
        <v>自動出兵ｼｮｰﾄｶｯﾄ</v>
      </c>
      <c r="J46" s="61"/>
      <c r="K46" s="62"/>
      <c r="Q46" s="99" t="str">
        <f>HYPERLINK("https://c2.3gokushi.jp/auto_send_troop/index.php?x=" &amp; Q45 &amp;"&amp;y=" &amp; R45,"自動出兵ｼｮｰﾄｶｯﾄ")</f>
        <v>自動出兵ｼｮｰﾄｶｯﾄ</v>
      </c>
      <c r="R46" s="61"/>
      <c r="S46" s="62"/>
    </row>
    <row r="47">
      <c r="B47" s="86"/>
      <c r="C47" s="77"/>
      <c r="D47" s="78"/>
      <c r="I47" s="97"/>
      <c r="J47" s="51"/>
      <c r="K47" s="52"/>
      <c r="Q47" s="97"/>
      <c r="R47" s="51"/>
      <c r="S47" s="52"/>
    </row>
    <row r="48">
      <c r="B48" s="88">
        <v>80.0</v>
      </c>
      <c r="C48" s="1">
        <v>-1000.0</v>
      </c>
      <c r="D48" s="89" t="str">
        <f>HYPERLINK("https://c2.3gokushi.jp/map.php?x="&amp;B48&amp;"&amp;y="&amp;C48,"MAP")</f>
        <v>MAP</v>
      </c>
      <c r="I48" s="98">
        <v>130.0</v>
      </c>
      <c r="J48" s="30">
        <v>-1000.0</v>
      </c>
      <c r="K48" s="89" t="str">
        <f>HYPERLINK("https://c2.3gokushi.jp/map.php?x="&amp;I48&amp;"&amp;y="&amp;J48,"MAP")</f>
        <v>MAP</v>
      </c>
      <c r="Q48" s="98">
        <v>30.0</v>
      </c>
      <c r="R48" s="30">
        <v>-975.0</v>
      </c>
      <c r="S48" s="89" t="str">
        <f>HYPERLINK("https://c2.3gokushi.jp/map.php?x="&amp;Q48&amp;"&amp;y="&amp;R48,"MAP")</f>
        <v>MAP</v>
      </c>
    </row>
    <row r="49">
      <c r="B49" s="90" t="str">
        <f>HYPERLINK("https://c2.3gokushi.jp/auto_send_troop/index.php?x=" &amp; B48 &amp;"&amp;y=" &amp; C48,"自動出兵ｼｮｰﾄｶｯﾄ")</f>
        <v>自動出兵ｼｮｰﾄｶｯﾄ</v>
      </c>
      <c r="C49" s="91"/>
      <c r="D49" s="92"/>
      <c r="I49" s="99" t="str">
        <f>HYPERLINK("https://c2.3gokushi.jp/auto_send_troop/index.php?x=" &amp; I48 &amp;"&amp;y=" &amp; J48,"自動出兵ｼｮｰﾄｶｯﾄ")</f>
        <v>自動出兵ｼｮｰﾄｶｯﾄ</v>
      </c>
      <c r="J49" s="61"/>
      <c r="K49" s="62"/>
      <c r="Q49" s="99" t="str">
        <f>HYPERLINK("https://c2.3gokushi.jp/auto_send_troop/index.php?x=" &amp; Q48 &amp;"&amp;y=" &amp; R48,"自動出兵ｼｮｰﾄｶｯﾄ")</f>
        <v>自動出兵ｼｮｰﾄｶｯﾄ</v>
      </c>
      <c r="R49" s="61"/>
      <c r="S49" s="62"/>
    </row>
    <row r="50">
      <c r="B50" s="86" t="s">
        <v>66</v>
      </c>
      <c r="C50" s="77"/>
      <c r="D50" s="78"/>
      <c r="I50" s="97"/>
      <c r="J50" s="51"/>
      <c r="K50" s="52"/>
      <c r="Q50" s="97"/>
      <c r="R50" s="51"/>
      <c r="S50" s="52"/>
    </row>
    <row r="51">
      <c r="B51" s="88">
        <v>80.0</v>
      </c>
      <c r="C51" s="1">
        <v>-1050.0</v>
      </c>
      <c r="D51" s="89" t="str">
        <f>HYPERLINK("https://c2.3gokushi.jp/map.php?x="&amp;B51&amp;"&amp;y="&amp;C51,"MAP")</f>
        <v>MAP</v>
      </c>
      <c r="E51" s="1" t="s">
        <v>67</v>
      </c>
      <c r="I51" s="98">
        <v>180.0</v>
      </c>
      <c r="J51" s="30">
        <v>-1050.0</v>
      </c>
      <c r="K51" s="89" t="str">
        <f>HYPERLINK("https://c2.3gokushi.jp/map.php?x="&amp;I51&amp;"&amp;y="&amp;J51,"MAP")</f>
        <v>MAP</v>
      </c>
      <c r="Q51" s="98">
        <v>-20.0</v>
      </c>
      <c r="R51" s="30">
        <v>-1000.0</v>
      </c>
      <c r="S51" s="89" t="str">
        <f>HYPERLINK("https://c2.3gokushi.jp/map.php?x="&amp;Q51&amp;"&amp;y="&amp;R51,"MAP")</f>
        <v>MAP</v>
      </c>
    </row>
    <row r="52">
      <c r="B52" s="90" t="str">
        <f>HYPERLINK("https://c2.3gokushi.jp/auto_send_troop/index.php?x=" &amp; B51 &amp;"&amp;y=" &amp; C51,"自動出兵ｼｮｰﾄｶｯﾄ")</f>
        <v>自動出兵ｼｮｰﾄｶｯﾄ</v>
      </c>
      <c r="C52" s="91"/>
      <c r="D52" s="92"/>
      <c r="E52" s="1" t="s">
        <v>61</v>
      </c>
      <c r="I52" s="99" t="str">
        <f>HYPERLINK("https://c2.3gokushi.jp/auto_send_troop/index.php?x=" &amp; I51 &amp;"&amp;y=" &amp; J51,"自動出兵ｼｮｰﾄｶｯﾄ")</f>
        <v>自動出兵ｼｮｰﾄｶｯﾄ</v>
      </c>
      <c r="J52" s="61"/>
      <c r="K52" s="62"/>
      <c r="Q52" s="99" t="str">
        <f>HYPERLINK("https://c2.3gokushi.jp/auto_send_troop/index.php?x=" &amp; Q51 &amp;"&amp;y=" &amp; R51,"自動出兵ｼｮｰﾄｶｯﾄ")</f>
        <v>自動出兵ｼｮｰﾄｶｯﾄ</v>
      </c>
      <c r="R52" s="61"/>
      <c r="S52" s="62"/>
    </row>
    <row r="53">
      <c r="E53" s="30"/>
      <c r="I53" s="97"/>
      <c r="J53" s="51"/>
      <c r="K53" s="52"/>
      <c r="Q53" s="97"/>
      <c r="R53" s="51"/>
      <c r="S53" s="52"/>
    </row>
    <row r="54">
      <c r="I54" s="98">
        <v>223.0</v>
      </c>
      <c r="J54" s="30">
        <v>-1094.0</v>
      </c>
      <c r="K54" s="89" t="str">
        <f>HYPERLINK("https://c2.3gokushi.jp/map.php?x="&amp;I54&amp;"&amp;y="&amp;J54,"MAP")</f>
        <v>MAP</v>
      </c>
      <c r="L54" s="1" t="s">
        <v>46</v>
      </c>
      <c r="Q54" s="98">
        <v>-70.0</v>
      </c>
      <c r="R54" s="30">
        <v>-1025.0</v>
      </c>
      <c r="S54" s="89" t="str">
        <f>HYPERLINK("https://c2.3gokushi.jp/map.php?x="&amp;Q54&amp;"&amp;y="&amp;R54,"MAP")</f>
        <v>MAP</v>
      </c>
    </row>
    <row r="55">
      <c r="I55" s="99" t="str">
        <f>HYPERLINK("https://c2.3gokushi.jp/auto_send_troop/index.php?x=" &amp; I54 &amp;"&amp;y=" &amp; J54,"自動出兵ｼｮｰﾄｶｯﾄ")</f>
        <v>自動出兵ｼｮｰﾄｶｯﾄ</v>
      </c>
      <c r="J55" s="61"/>
      <c r="K55" s="62"/>
      <c r="L55" s="1" t="s">
        <v>68</v>
      </c>
      <c r="Q55" s="99" t="str">
        <f>HYPERLINK("https://c2.3gokushi.jp/auto_send_troop/index.php?x=" &amp; Q54 &amp;"&amp;y=" &amp; R54,"自動出兵ｼｮｰﾄｶｯﾄ")</f>
        <v>自動出兵ｼｮｰﾄｶｯﾄ</v>
      </c>
      <c r="R55" s="61"/>
      <c r="S55" s="62"/>
    </row>
    <row r="56">
      <c r="Q56" s="97"/>
      <c r="R56" s="51"/>
      <c r="S56" s="52"/>
    </row>
    <row r="57">
      <c r="Q57" s="98">
        <v>-120.0</v>
      </c>
      <c r="R57" s="30">
        <v>-1055.0</v>
      </c>
      <c r="S57" s="89" t="str">
        <f>HYPERLINK("https://c2.3gokushi.jp/map.php?x="&amp;Q57&amp;"&amp;y="&amp;R57,"MAP")</f>
        <v>MAP</v>
      </c>
    </row>
    <row r="58">
      <c r="Q58" s="99" t="str">
        <f>HYPERLINK("https://c2.3gokushi.jp/auto_send_troop/index.php?x=" &amp; Q57 &amp;"&amp;y=" &amp; R57,"自動出兵ｼｮｰﾄｶｯﾄ")</f>
        <v>自動出兵ｼｮｰﾄｶｯﾄ</v>
      </c>
      <c r="R58" s="61"/>
      <c r="S58" s="62"/>
    </row>
    <row r="59">
      <c r="E59" s="30"/>
      <c r="Q59" s="97"/>
      <c r="R59" s="51"/>
      <c r="S59" s="52"/>
    </row>
    <row r="60">
      <c r="Q60" s="98">
        <v>-150.0</v>
      </c>
      <c r="R60" s="30">
        <v>-1105.0</v>
      </c>
      <c r="S60" s="89" t="str">
        <f>HYPERLINK("https://c2.3gokushi.jp/map.php?x="&amp;Q60&amp;"&amp;y="&amp;R60,"MAP")</f>
        <v>MAP</v>
      </c>
    </row>
    <row r="61">
      <c r="Q61" s="99" t="str">
        <f>HYPERLINK("https://c2.3gokushi.jp/auto_send_troop/index.php?x=" &amp; Q60 &amp;"&amp;y=" &amp; R60,"自動出兵ｼｮｰﾄｶｯﾄ")</f>
        <v>自動出兵ｼｮｰﾄｶｯﾄ</v>
      </c>
      <c r="R61" s="61"/>
      <c r="S61" s="62"/>
    </row>
    <row r="62">
      <c r="Q62" s="97"/>
      <c r="R62" s="51"/>
      <c r="S62" s="52"/>
    </row>
    <row r="63">
      <c r="Q63" s="98">
        <v>-170.0</v>
      </c>
      <c r="R63" s="30">
        <v>-1140.0</v>
      </c>
      <c r="S63" s="89" t="str">
        <f>HYPERLINK("https://c2.3gokushi.jp/map.php?x="&amp;Q63&amp;"&amp;y="&amp;R63,"MAP")</f>
        <v>MAP</v>
      </c>
      <c r="T63" s="1" t="s">
        <v>46</v>
      </c>
    </row>
    <row r="64">
      <c r="Q64" s="99" t="str">
        <f>HYPERLINK("https://c2.3gokushi.jp/auto_send_troop/index.php?x=" &amp; Q63 &amp;"&amp;y=" &amp; R63,"自動出兵ｼｮｰﾄｶｯﾄ")</f>
        <v>自動出兵ｼｮｰﾄｶｯﾄ</v>
      </c>
      <c r="R64" s="61"/>
      <c r="S64" s="62"/>
      <c r="T64" s="1" t="s">
        <v>54</v>
      </c>
    </row>
  </sheetData>
  <mergeCells count="60">
    <mergeCell ref="B46:D46"/>
    <mergeCell ref="B47:D47"/>
    <mergeCell ref="I47:K47"/>
    <mergeCell ref="Q47:S47"/>
    <mergeCell ref="I49:K49"/>
    <mergeCell ref="Q49:S49"/>
    <mergeCell ref="B49:D49"/>
    <mergeCell ref="B50:D50"/>
    <mergeCell ref="I50:K50"/>
    <mergeCell ref="Q50:S50"/>
    <mergeCell ref="I52:K52"/>
    <mergeCell ref="Q52:S52"/>
    <mergeCell ref="Q53:S53"/>
    <mergeCell ref="B2:D2"/>
    <mergeCell ref="B3:D3"/>
    <mergeCell ref="B5:D5"/>
    <mergeCell ref="B7:D7"/>
    <mergeCell ref="B8:D8"/>
    <mergeCell ref="B10:D10"/>
    <mergeCell ref="B11:D11"/>
    <mergeCell ref="B13:D13"/>
    <mergeCell ref="B14:D14"/>
    <mergeCell ref="B16:D16"/>
    <mergeCell ref="B17:D17"/>
    <mergeCell ref="B19:D19"/>
    <mergeCell ref="B20:D20"/>
    <mergeCell ref="B22:D22"/>
    <mergeCell ref="I32:K32"/>
    <mergeCell ref="I34:K34"/>
    <mergeCell ref="B23:D23"/>
    <mergeCell ref="B25:D25"/>
    <mergeCell ref="B26:D26"/>
    <mergeCell ref="B28:D28"/>
    <mergeCell ref="B29:D29"/>
    <mergeCell ref="I29:K29"/>
    <mergeCell ref="I31:K31"/>
    <mergeCell ref="B41:D41"/>
    <mergeCell ref="B43:D43"/>
    <mergeCell ref="B44:D44"/>
    <mergeCell ref="I44:K44"/>
    <mergeCell ref="Q44:S44"/>
    <mergeCell ref="I46:K46"/>
    <mergeCell ref="Q46:S46"/>
    <mergeCell ref="B31:D31"/>
    <mergeCell ref="B32:D32"/>
    <mergeCell ref="B34:D34"/>
    <mergeCell ref="B35:D35"/>
    <mergeCell ref="B37:D37"/>
    <mergeCell ref="B38:D38"/>
    <mergeCell ref="B40:D40"/>
    <mergeCell ref="B52:D52"/>
    <mergeCell ref="Q62:S62"/>
    <mergeCell ref="Q64:S64"/>
    <mergeCell ref="I53:K53"/>
    <mergeCell ref="I55:K55"/>
    <mergeCell ref="Q55:S55"/>
    <mergeCell ref="Q56:S56"/>
    <mergeCell ref="Q58:S58"/>
    <mergeCell ref="Q59:S59"/>
    <mergeCell ref="Q61:S61"/>
  </mergeCells>
  <hyperlinks>
    <hyperlink display="使用方法等は目次・取説タブ参照のこと" location="'目次・取説'!A1" ref="N1"/>
    <hyperlink display="目次・取説" location="'目次・取説'!A1" ref="F3"/>
    <hyperlink display="南東大幹線＋東（下邳）" location="'南東大幹線ルート'!A1" ref="F5"/>
    <hyperlink display="南東裏幹線" location="'南東砦隣接分岐用（裏）'!A1" ref="F7"/>
    <hyperlink r:id="rId1" location="gid=351356903" ref="F1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4" width="4.88"/>
    <col customWidth="1" min="5" max="5" width="10.13"/>
    <col customWidth="1" min="6" max="22" width="4.88"/>
  </cols>
  <sheetData>
    <row r="1">
      <c r="B1" s="27" t="s">
        <v>28</v>
      </c>
      <c r="N1" s="28" t="s">
        <v>29</v>
      </c>
    </row>
    <row r="2" ht="15.0" customHeight="1">
      <c r="B2" s="100" t="s">
        <v>30</v>
      </c>
      <c r="C2" s="101"/>
      <c r="D2" s="102"/>
      <c r="E2" s="30"/>
      <c r="F2" s="93" t="s">
        <v>69</v>
      </c>
      <c r="G2" s="30"/>
      <c r="H2" s="30"/>
      <c r="I2" s="30"/>
      <c r="J2" s="30"/>
      <c r="K2" s="30"/>
      <c r="L2" s="30"/>
      <c r="M2" s="30"/>
      <c r="N2" s="30"/>
      <c r="O2" s="30"/>
      <c r="P2" s="30"/>
      <c r="Q2" s="30"/>
      <c r="R2" s="30"/>
      <c r="S2" s="30"/>
      <c r="T2" s="30"/>
      <c r="U2" s="30"/>
      <c r="V2" s="30"/>
    </row>
    <row r="3" ht="15.0" customHeight="1">
      <c r="B3" s="103" t="s">
        <v>70</v>
      </c>
      <c r="D3" s="104"/>
      <c r="E3" s="30"/>
      <c r="F3" s="93" t="s">
        <v>71</v>
      </c>
      <c r="G3" s="30"/>
      <c r="H3" s="30"/>
      <c r="I3" s="30"/>
      <c r="J3" s="30"/>
      <c r="K3" s="30"/>
      <c r="L3" s="30"/>
      <c r="M3" s="30"/>
      <c r="N3" s="30"/>
      <c r="O3" s="30"/>
      <c r="P3" s="30"/>
      <c r="Q3" s="30"/>
      <c r="R3" s="30"/>
      <c r="S3" s="30"/>
      <c r="T3" s="30"/>
      <c r="U3" s="30"/>
      <c r="V3" s="30"/>
    </row>
    <row r="4" ht="15.0" customHeight="1">
      <c r="B4" s="105" t="s">
        <v>33</v>
      </c>
      <c r="C4" s="106" t="s">
        <v>34</v>
      </c>
      <c r="D4" s="107"/>
      <c r="F4" s="1" t="s">
        <v>72</v>
      </c>
    </row>
    <row r="5" ht="15.0" customHeight="1">
      <c r="A5" s="1" t="s">
        <v>11</v>
      </c>
      <c r="B5" s="108"/>
      <c r="C5" s="101"/>
      <c r="D5" s="102"/>
      <c r="E5" s="37"/>
      <c r="F5" s="109" t="s">
        <v>73</v>
      </c>
      <c r="G5" s="37"/>
      <c r="H5" s="37"/>
      <c r="I5" s="37"/>
      <c r="J5" s="37"/>
      <c r="K5" s="37"/>
      <c r="L5" s="37"/>
      <c r="M5" s="37"/>
      <c r="N5" s="37"/>
      <c r="O5" s="37"/>
      <c r="P5" s="37"/>
      <c r="Q5" s="37"/>
      <c r="R5" s="37"/>
      <c r="S5" s="37"/>
      <c r="T5" s="37"/>
      <c r="U5" s="37"/>
      <c r="V5" s="37"/>
    </row>
    <row r="6" ht="15.0" customHeight="1">
      <c r="A6" s="1" t="s">
        <v>14</v>
      </c>
      <c r="B6" s="110">
        <v>250.0</v>
      </c>
      <c r="C6" s="1">
        <v>-300.0</v>
      </c>
      <c r="D6" s="111" t="str">
        <f>HYPERLINK("https://c2.3gokushi.jp/map.php?x="&amp;B6&amp;"&amp;y="&amp;C6,"MAP")</f>
        <v>MAP</v>
      </c>
      <c r="F6" s="93"/>
      <c r="G6" s="38"/>
    </row>
    <row r="7" ht="15.0" customHeight="1">
      <c r="A7" s="1" t="s">
        <v>15</v>
      </c>
      <c r="B7" s="112" t="str">
        <f>HYPERLINK("https://c2.3gokushi.jp/auto_send_troop/index.php?x=" &amp; B6 &amp;"&amp;y=" &amp; C6,"自動出兵ｼｮｰﾄｶｯﾄ")</f>
        <v>自動出兵ｼｮｰﾄｶｯﾄ</v>
      </c>
      <c r="C7" s="113"/>
      <c r="D7" s="114"/>
      <c r="E7" s="30"/>
      <c r="F7" s="115" t="s">
        <v>42</v>
      </c>
      <c r="G7" s="116" t="s">
        <v>74</v>
      </c>
      <c r="P7" s="30"/>
      <c r="Q7" s="30"/>
      <c r="R7" s="30"/>
      <c r="S7" s="30"/>
      <c r="T7" s="30"/>
      <c r="U7" s="30"/>
      <c r="V7" s="30"/>
    </row>
    <row r="8" ht="15.0" customHeight="1">
      <c r="B8" s="108"/>
      <c r="C8" s="101"/>
      <c r="D8" s="102"/>
      <c r="E8" s="41"/>
      <c r="P8" s="41"/>
      <c r="Q8" s="41"/>
      <c r="R8" s="41"/>
      <c r="S8" s="41"/>
      <c r="T8" s="41"/>
      <c r="U8" s="41"/>
      <c r="V8" s="41"/>
    </row>
    <row r="9" ht="15.0" customHeight="1">
      <c r="B9" s="110">
        <v>265.0</v>
      </c>
      <c r="C9" s="1">
        <v>-350.0</v>
      </c>
      <c r="D9" s="111" t="str">
        <f>HYPERLINK("https://c2.3gokushi.jp/map.php?x="&amp;B9&amp;"&amp;y="&amp;C9,"MAP")</f>
        <v>MAP</v>
      </c>
      <c r="F9" s="38"/>
      <c r="G9" s="38"/>
    </row>
    <row r="10" ht="15.0" customHeight="1">
      <c r="B10" s="112" t="str">
        <f>HYPERLINK("https://c2.3gokushi.jp/auto_send_troop/index.php?x=" &amp; B9 &amp;"&amp;y=" &amp; C9,"自動出兵ｼｮｰﾄｶｯﾄ")</f>
        <v>自動出兵ｼｮｰﾄｶｯﾄ</v>
      </c>
      <c r="C10" s="113"/>
      <c r="D10" s="114"/>
      <c r="E10" s="30"/>
      <c r="F10" s="30" t="s">
        <v>1</v>
      </c>
      <c r="G10" s="41"/>
      <c r="H10" s="41"/>
      <c r="I10" s="41"/>
      <c r="J10" s="41"/>
      <c r="K10" s="41"/>
      <c r="L10" s="41"/>
      <c r="M10" s="30"/>
      <c r="N10" s="30"/>
      <c r="O10" s="30"/>
      <c r="P10" s="30"/>
      <c r="Q10" s="30"/>
      <c r="R10" s="30"/>
      <c r="S10" s="30"/>
      <c r="T10" s="30"/>
      <c r="U10" s="30"/>
      <c r="V10" s="30"/>
    </row>
    <row r="11" ht="15.0" customHeight="1">
      <c r="B11" s="108"/>
      <c r="C11" s="101"/>
      <c r="D11" s="102"/>
      <c r="E11" s="41"/>
      <c r="F11" s="32" t="s">
        <v>32</v>
      </c>
      <c r="G11" s="41"/>
      <c r="H11" s="41"/>
      <c r="I11" s="41"/>
      <c r="J11" s="41"/>
      <c r="K11" s="41"/>
      <c r="L11" s="41"/>
      <c r="M11" s="41"/>
      <c r="N11" s="41"/>
      <c r="O11" s="41"/>
      <c r="P11" s="41"/>
      <c r="Q11" s="41"/>
      <c r="R11" s="41"/>
      <c r="S11" s="41"/>
      <c r="T11" s="41"/>
      <c r="U11" s="41"/>
      <c r="V11" s="41"/>
    </row>
    <row r="12" ht="15.0" customHeight="1">
      <c r="B12" s="110">
        <f>B9+15</f>
        <v>280</v>
      </c>
      <c r="C12" s="1">
        <v>-400.0</v>
      </c>
      <c r="D12" s="111" t="str">
        <f>HYPERLINK("https://c2.3gokushi.jp/map.php?x="&amp;B12&amp;"&amp;y="&amp;C12,"MAP")</f>
        <v>MAP</v>
      </c>
      <c r="F12" s="36"/>
      <c r="G12" s="41"/>
      <c r="H12" s="41"/>
      <c r="I12" s="41"/>
      <c r="J12" s="41"/>
      <c r="K12" s="41"/>
      <c r="L12" s="41"/>
    </row>
    <row r="13" ht="15.0" customHeight="1">
      <c r="B13" s="112" t="str">
        <f>HYPERLINK("https://c2.3gokushi.jp/auto_send_troop/index.php?x=" &amp; B12 &amp;"&amp;y=" &amp; C12,"自動出兵ｼｮｰﾄｶｯﾄ")</f>
        <v>自動出兵ｼｮｰﾄｶｯﾄ</v>
      </c>
      <c r="C13" s="113"/>
      <c r="D13" s="114"/>
      <c r="E13" s="30"/>
      <c r="F13" s="87" t="s">
        <v>2</v>
      </c>
      <c r="G13" s="41"/>
      <c r="H13" s="41"/>
      <c r="I13" s="41"/>
      <c r="J13" s="41"/>
      <c r="K13" s="41"/>
      <c r="L13" s="41"/>
      <c r="O13" s="30"/>
      <c r="P13" s="30"/>
      <c r="Q13" s="30"/>
      <c r="R13" s="30"/>
      <c r="S13" s="30"/>
      <c r="T13" s="30"/>
      <c r="U13" s="30"/>
      <c r="V13" s="30"/>
    </row>
    <row r="14" ht="15.0" customHeight="1">
      <c r="B14" s="108"/>
      <c r="C14" s="101"/>
      <c r="D14" s="102"/>
      <c r="E14" s="30"/>
      <c r="F14" s="36"/>
      <c r="G14" s="41"/>
      <c r="H14" s="41"/>
      <c r="I14" s="41"/>
      <c r="J14" s="41"/>
      <c r="K14" s="41"/>
      <c r="L14" s="41"/>
      <c r="O14" s="96"/>
      <c r="P14" s="96"/>
      <c r="Q14" s="96"/>
      <c r="R14" s="96"/>
      <c r="S14" s="96"/>
      <c r="T14" s="96"/>
      <c r="U14" s="96"/>
      <c r="V14" s="96"/>
    </row>
    <row r="15" ht="15.0" customHeight="1">
      <c r="B15" s="110">
        <f>B12+15</f>
        <v>295</v>
      </c>
      <c r="C15" s="1">
        <v>-450.0</v>
      </c>
      <c r="D15" s="111" t="str">
        <f>HYPERLINK("https://c2.3gokushi.jp/map.php?x="&amp;B15&amp;"&amp;y="&amp;C15,"MAP")</f>
        <v>MAP</v>
      </c>
      <c r="F15" s="32" t="s">
        <v>3</v>
      </c>
      <c r="G15" s="41"/>
      <c r="H15" s="41"/>
      <c r="I15" s="41"/>
      <c r="J15" s="41"/>
      <c r="K15" s="41"/>
      <c r="L15" s="41"/>
    </row>
    <row r="16" ht="15.0" customHeight="1">
      <c r="B16" s="112" t="str">
        <f>HYPERLINK("https://c2.3gokushi.jp/auto_send_troop/index.php?x=" &amp; B15 &amp;"&amp;y=" &amp; C15,"自動出兵ｼｮｰﾄｶｯﾄ")</f>
        <v>自動出兵ｼｮｰﾄｶｯﾄ</v>
      </c>
      <c r="C16" s="113"/>
      <c r="D16" s="114"/>
      <c r="E16" s="30"/>
      <c r="F16" s="38"/>
      <c r="G16" s="41"/>
      <c r="H16" s="41"/>
      <c r="I16" s="41"/>
      <c r="J16" s="41"/>
      <c r="K16" s="41"/>
      <c r="L16" s="41"/>
      <c r="O16" s="30"/>
      <c r="P16" s="30"/>
      <c r="Q16" s="30"/>
      <c r="R16" s="30"/>
      <c r="S16" s="30"/>
      <c r="T16" s="30"/>
      <c r="U16" s="30"/>
      <c r="V16" s="30"/>
    </row>
    <row r="17" ht="15.0" customHeight="1">
      <c r="B17" s="108"/>
      <c r="C17" s="101"/>
      <c r="D17" s="102"/>
      <c r="E17" s="41"/>
      <c r="F17" s="38"/>
      <c r="G17" s="41"/>
      <c r="H17" s="41"/>
      <c r="I17" s="41"/>
      <c r="J17" s="41"/>
      <c r="K17" s="41"/>
      <c r="L17" s="41"/>
      <c r="O17" s="41"/>
      <c r="P17" s="41"/>
      <c r="Q17" s="41"/>
      <c r="R17" s="41"/>
      <c r="S17" s="41"/>
      <c r="T17" s="41"/>
      <c r="U17" s="41"/>
      <c r="V17" s="41"/>
    </row>
    <row r="18" ht="15.0" customHeight="1">
      <c r="B18" s="110">
        <f>B15+15</f>
        <v>310</v>
      </c>
      <c r="C18" s="1">
        <v>-500.0</v>
      </c>
      <c r="D18" s="111" t="str">
        <f>HYPERLINK("https://c2.3gokushi.jp/map.php?x="&amp;B18&amp;"&amp;y="&amp;C18,"MAP")</f>
        <v>MAP</v>
      </c>
      <c r="F18" s="38"/>
      <c r="G18" s="41"/>
      <c r="H18" s="41"/>
      <c r="I18" s="41"/>
      <c r="J18" s="41"/>
      <c r="K18" s="41"/>
      <c r="L18" s="41"/>
    </row>
    <row r="19" ht="15.0" customHeight="1">
      <c r="B19" s="117" t="str">
        <f>HYPERLINK("https://c2.3gokushi.jp/auto_send_troop/index.php?x=" &amp; C18 &amp;"&amp;y=" &amp; #REF!,"自動出兵ｼｮｰﾄｶｯﾄ")</f>
        <v>自動出兵ｼｮｰﾄｶｯﾄ</v>
      </c>
      <c r="C19" s="113"/>
      <c r="D19" s="114"/>
      <c r="E19" s="30"/>
      <c r="F19" s="38"/>
      <c r="G19" s="41"/>
      <c r="H19" s="41"/>
      <c r="I19" s="41"/>
      <c r="J19" s="41"/>
      <c r="K19" s="41"/>
      <c r="L19" s="41"/>
      <c r="O19" s="30"/>
      <c r="P19" s="30"/>
      <c r="Q19" s="30"/>
      <c r="R19" s="30"/>
      <c r="S19" s="30"/>
      <c r="T19" s="30"/>
      <c r="U19" s="30"/>
      <c r="V19" s="30"/>
    </row>
    <row r="20" ht="15.0" customHeight="1">
      <c r="B20" s="108"/>
      <c r="C20" s="101"/>
      <c r="D20" s="102"/>
      <c r="E20" s="41"/>
      <c r="F20" s="38"/>
      <c r="G20" s="41"/>
      <c r="H20" s="41"/>
      <c r="I20" s="41"/>
      <c r="J20" s="41"/>
      <c r="K20" s="41"/>
      <c r="L20" s="41"/>
      <c r="O20" s="41"/>
      <c r="P20" s="41"/>
      <c r="Q20" s="41"/>
      <c r="R20" s="41"/>
      <c r="S20" s="41"/>
      <c r="T20" s="41"/>
      <c r="U20" s="41"/>
      <c r="V20" s="41"/>
    </row>
    <row r="21" ht="15.0" customHeight="1">
      <c r="B21" s="110">
        <f>B18+15</f>
        <v>325</v>
      </c>
      <c r="C21" s="1">
        <v>-550.0</v>
      </c>
      <c r="D21" s="111" t="str">
        <f>HYPERLINK("https://c2.3gokushi.jp/map.php?x="&amp;B21&amp;"&amp;y="&amp;C21,"MAP")</f>
        <v>MAP</v>
      </c>
      <c r="F21" s="38"/>
    </row>
    <row r="22" ht="15.0" customHeight="1">
      <c r="B22" s="117" t="str">
        <f>HYPERLINK("https://c2.3gokushi.jp/auto_send_troop/index.php?x=" &amp; C21 &amp;"&amp;y=" &amp; #REF!,"自動出兵ｼｮｰﾄｶｯﾄ")</f>
        <v>自動出兵ｼｮｰﾄｶｯﾄ</v>
      </c>
      <c r="C22" s="113"/>
      <c r="D22" s="114"/>
      <c r="E22" s="30"/>
      <c r="F22" s="38"/>
      <c r="H22" s="30"/>
      <c r="I22" s="30"/>
      <c r="J22" s="30"/>
      <c r="K22" s="30"/>
      <c r="L22" s="30"/>
      <c r="O22" s="30"/>
      <c r="P22" s="30"/>
      <c r="Q22" s="30"/>
      <c r="R22" s="30"/>
      <c r="S22" s="30"/>
      <c r="T22" s="30"/>
      <c r="U22" s="30"/>
      <c r="V22" s="30"/>
    </row>
    <row r="23" ht="15.0" customHeight="1">
      <c r="B23" s="108"/>
      <c r="C23" s="101"/>
      <c r="D23" s="102"/>
      <c r="E23" s="41"/>
      <c r="F23" s="38"/>
      <c r="H23" s="41"/>
      <c r="I23" s="41"/>
      <c r="J23" s="41"/>
      <c r="K23" s="41"/>
      <c r="L23" s="41"/>
      <c r="O23" s="41"/>
      <c r="P23" s="41"/>
      <c r="Q23" s="41"/>
      <c r="R23" s="41"/>
      <c r="S23" s="41"/>
      <c r="T23" s="41"/>
      <c r="U23" s="41"/>
      <c r="V23" s="41"/>
    </row>
    <row r="24" ht="15.0" customHeight="1">
      <c r="B24" s="110">
        <f>B21+15</f>
        <v>340</v>
      </c>
      <c r="C24" s="1">
        <v>-600.0</v>
      </c>
      <c r="D24" s="111" t="str">
        <f>HYPERLINK("https://c2.3gokushi.jp/map.php?x="&amp;B24&amp;"&amp;y="&amp;C24,"MAP")</f>
        <v>MAP</v>
      </c>
      <c r="F24" s="38"/>
    </row>
    <row r="25" ht="15.0" customHeight="1">
      <c r="B25" s="117" t="str">
        <f>HYPERLINK("https://c2.3gokushi.jp/auto_send_troop/index.php?x=" &amp; C24 &amp;"&amp;y=" &amp; #REF!,"自動出兵ｼｮｰﾄｶｯﾄ")</f>
        <v>自動出兵ｼｮｰﾄｶｯﾄ</v>
      </c>
      <c r="C25" s="113"/>
      <c r="D25" s="114"/>
      <c r="E25" s="30"/>
      <c r="F25" s="38"/>
      <c r="H25" s="30"/>
      <c r="I25" s="30"/>
      <c r="J25" s="30"/>
      <c r="K25" s="30"/>
      <c r="L25" s="30"/>
      <c r="O25" s="30"/>
      <c r="P25" s="30"/>
      <c r="Q25" s="30"/>
      <c r="R25" s="30"/>
      <c r="S25" s="30"/>
      <c r="T25" s="30"/>
      <c r="U25" s="30"/>
      <c r="V25" s="30"/>
    </row>
    <row r="26" ht="15.0" customHeight="1">
      <c r="B26" s="108"/>
      <c r="C26" s="101"/>
      <c r="D26" s="102"/>
      <c r="E26" s="30"/>
    </row>
    <row r="27" ht="15.0" customHeight="1">
      <c r="B27" s="110">
        <f>B24+15</f>
        <v>355</v>
      </c>
      <c r="C27" s="1">
        <v>-650.0</v>
      </c>
      <c r="D27" s="111" t="str">
        <f>HYPERLINK("https://c2.3gokushi.jp/map.php?x="&amp;B27&amp;"&amp;y="&amp;C27,"MAP")</f>
        <v>MAP</v>
      </c>
    </row>
    <row r="28" ht="15.0" customHeight="1">
      <c r="B28" s="117" t="str">
        <f>HYPERLINK("https://c2.3gokushi.jp/auto_send_troop/index.php?x=" &amp; C27 &amp;"&amp;y=" &amp; #REF!,"自動出兵ｼｮｰﾄｶｯﾄ")</f>
        <v>自動出兵ｼｮｰﾄｶｯﾄ</v>
      </c>
      <c r="C28" s="113"/>
      <c r="D28" s="114"/>
      <c r="I28" s="1"/>
      <c r="J28" s="1"/>
      <c r="K28" s="1"/>
      <c r="L28" s="1"/>
      <c r="O28" s="1"/>
      <c r="P28" s="1"/>
      <c r="Q28" s="1"/>
      <c r="R28" s="1"/>
      <c r="S28" s="1"/>
      <c r="T28" s="1"/>
      <c r="U28" s="1"/>
      <c r="V28" s="1"/>
    </row>
    <row r="29" ht="15.0" customHeight="1">
      <c r="B29" s="108"/>
      <c r="C29" s="101"/>
      <c r="D29" s="102"/>
    </row>
    <row r="30" ht="15.0" customHeight="1">
      <c r="B30" s="110">
        <f>B27+15</f>
        <v>370</v>
      </c>
      <c r="C30" s="1">
        <v>-700.0</v>
      </c>
      <c r="D30" s="111" t="str">
        <f>HYPERLINK("https://c2.3gokushi.jp/map.php?x="&amp;B30&amp;"&amp;y="&amp;C30,"MAP")</f>
        <v>MAP</v>
      </c>
    </row>
    <row r="31" ht="15.0" customHeight="1">
      <c r="B31" s="112" t="str">
        <f>HYPERLINK("https://c2.3gokushi.jp/auto_send_troop/index.php?x=" &amp; B30 &amp;"&amp;y=" &amp; C30,"自動出兵ｼｮｰﾄｶｯﾄ")</f>
        <v>自動出兵ｼｮｰﾄｶｯﾄ</v>
      </c>
      <c r="C31" s="113"/>
      <c r="D31" s="114"/>
    </row>
    <row r="32" ht="15.0" customHeight="1">
      <c r="B32" s="108"/>
      <c r="C32" s="101"/>
      <c r="D32" s="102"/>
      <c r="E32" s="30"/>
      <c r="I32" s="1"/>
      <c r="J32" s="1"/>
      <c r="K32" s="1"/>
      <c r="L32" s="1"/>
      <c r="M32" s="1"/>
      <c r="N32" s="1"/>
      <c r="O32" s="1"/>
      <c r="P32" s="1"/>
      <c r="Q32" s="1"/>
      <c r="R32" s="1"/>
      <c r="S32" s="1"/>
      <c r="T32" s="1"/>
      <c r="U32" s="1"/>
      <c r="V32" s="1"/>
    </row>
    <row r="33" ht="15.0" customHeight="1">
      <c r="B33" s="110">
        <f>B30+15</f>
        <v>385</v>
      </c>
      <c r="C33" s="1">
        <v>-750.0</v>
      </c>
      <c r="D33" s="111" t="str">
        <f>HYPERLINK("https://c2.3gokushi.jp/map.php?x="&amp;B33&amp;"&amp;y="&amp;C33,"MAP")</f>
        <v>MAP</v>
      </c>
    </row>
    <row r="34" ht="15.0" customHeight="1">
      <c r="B34" s="112" t="str">
        <f>HYPERLINK("https://c2.3gokushi.jp/auto_send_troop/index.php?x=" &amp; B33 &amp;"&amp;y=" &amp; C33,"自動出兵ｼｮｰﾄｶｯﾄ")</f>
        <v>自動出兵ｼｮｰﾄｶｯﾄ</v>
      </c>
      <c r="C34" s="113"/>
      <c r="D34" s="114"/>
    </row>
    <row r="35" ht="15.0" customHeight="1">
      <c r="B35" s="108"/>
      <c r="C35" s="101"/>
      <c r="D35" s="102"/>
      <c r="F35" s="1"/>
      <c r="G35" s="1"/>
    </row>
    <row r="36" ht="15.0" customHeight="1">
      <c r="B36" s="110">
        <f>B33+15</f>
        <v>400</v>
      </c>
      <c r="C36" s="1">
        <v>-800.0</v>
      </c>
      <c r="D36" s="111" t="str">
        <f>HYPERLINK("https://c2.3gokushi.jp/map.php?x="&amp;B36&amp;"&amp;y="&amp;C36,"MAP")</f>
        <v>MAP</v>
      </c>
      <c r="E36" s="1"/>
      <c r="H36" s="1"/>
      <c r="I36" s="1"/>
      <c r="J36" s="1"/>
      <c r="K36" s="1"/>
      <c r="L36" s="1"/>
      <c r="M36" s="1"/>
      <c r="N36" s="1"/>
      <c r="O36" s="1"/>
      <c r="P36" s="1"/>
      <c r="Q36" s="1"/>
      <c r="R36" s="1"/>
      <c r="S36" s="1"/>
      <c r="T36" s="1"/>
      <c r="U36" s="1"/>
      <c r="V36" s="1"/>
    </row>
    <row r="37" ht="15.0" customHeight="1">
      <c r="B37" s="112" t="str">
        <f>HYPERLINK("https://c2.3gokushi.jp/auto_send_troop/index.php?x=" &amp; B36 &amp;"&amp;y=" &amp; C36,"自動出兵ｼｮｰﾄｶｯﾄ")</f>
        <v>自動出兵ｼｮｰﾄｶｯﾄ</v>
      </c>
      <c r="C37" s="113"/>
      <c r="D37" s="114"/>
    </row>
    <row r="38" ht="15.0" customHeight="1">
      <c r="B38" s="108"/>
      <c r="C38" s="101"/>
      <c r="D38" s="102"/>
    </row>
    <row r="39" ht="15.0" customHeight="1">
      <c r="B39" s="110">
        <f>B36+15</f>
        <v>415</v>
      </c>
      <c r="C39" s="1">
        <v>-850.0</v>
      </c>
      <c r="D39" s="111" t="str">
        <f>HYPERLINK("https://c2.3gokushi.jp/map.php?x="&amp;B39&amp;"&amp;y="&amp;C39,"MAP")</f>
        <v>MAP</v>
      </c>
      <c r="F39" s="1"/>
      <c r="G39" s="1"/>
    </row>
    <row r="40" ht="15.0" customHeight="1">
      <c r="B40" s="112" t="str">
        <f>HYPERLINK("https://c2.3gokushi.jp/auto_send_troop/index.php?x=" &amp; B39 &amp;"&amp;y=" &amp; C39,"自動出兵ｼｮｰﾄｶｯﾄ")</f>
        <v>自動出兵ｼｮｰﾄｶｯﾄ</v>
      </c>
      <c r="C40" s="113"/>
      <c r="D40" s="114"/>
      <c r="E40" s="1"/>
      <c r="H40" s="1"/>
      <c r="I40" s="1"/>
      <c r="J40" s="1"/>
      <c r="K40" s="1"/>
      <c r="L40" s="1"/>
      <c r="M40" s="1"/>
      <c r="N40" s="1"/>
      <c r="O40" s="1"/>
      <c r="P40" s="1"/>
      <c r="Q40" s="1"/>
      <c r="R40" s="1"/>
      <c r="S40" s="1"/>
      <c r="T40" s="1"/>
      <c r="U40" s="1"/>
      <c r="V40" s="1"/>
    </row>
    <row r="41" ht="15.0" customHeight="1">
      <c r="B41" s="108"/>
      <c r="C41" s="101"/>
      <c r="D41" s="102"/>
    </row>
    <row r="42">
      <c r="B42" s="110">
        <f>B39+15</f>
        <v>430</v>
      </c>
      <c r="C42" s="1">
        <v>-900.0</v>
      </c>
      <c r="D42" s="111" t="str">
        <f>HYPERLINK("https://c2.3gokushi.jp/map.php?x="&amp;B42&amp;"&amp;y="&amp;C42,"MAP")</f>
        <v>MAP</v>
      </c>
    </row>
    <row r="43">
      <c r="B43" s="112" t="str">
        <f>HYPERLINK("https://c2.3gokushi.jp/auto_send_troop/index.php?x=" &amp; B42 &amp;"&amp;y=" &amp; C42,"自動出兵ｼｮｰﾄｶｯﾄ")</f>
        <v>自動出兵ｼｮｰﾄｶｯﾄ</v>
      </c>
      <c r="C43" s="113"/>
      <c r="D43" s="114"/>
      <c r="F43" s="1"/>
      <c r="G43" s="1"/>
    </row>
    <row r="44">
      <c r="B44" s="108"/>
      <c r="C44" s="101"/>
      <c r="D44" s="102"/>
      <c r="E44" s="1"/>
      <c r="H44" s="1"/>
      <c r="I44" s="1"/>
      <c r="J44" s="1"/>
      <c r="K44" s="1"/>
      <c r="L44" s="1"/>
      <c r="M44" s="1"/>
      <c r="N44" s="1"/>
      <c r="O44" s="1"/>
      <c r="P44" s="1"/>
      <c r="Q44" s="1"/>
      <c r="R44" s="1"/>
      <c r="S44" s="1"/>
      <c r="T44" s="1"/>
      <c r="U44" s="1"/>
      <c r="V44" s="1"/>
    </row>
    <row r="45">
      <c r="B45" s="110">
        <f>B42+15</f>
        <v>445</v>
      </c>
      <c r="C45" s="1">
        <v>-950.0</v>
      </c>
      <c r="D45" s="111" t="str">
        <f>HYPERLINK("https://c2.3gokushi.jp/map.php?x="&amp;B45&amp;"&amp;y="&amp;C45,"MAP")</f>
        <v>MAP</v>
      </c>
    </row>
    <row r="46">
      <c r="B46" s="112" t="str">
        <f>HYPERLINK("https://c2.3gokushi.jp/auto_send_troop/index.php?x=" &amp; B45 &amp;"&amp;y=" &amp; C45,"自動出兵ｼｮｰﾄｶｯﾄ")</f>
        <v>自動出兵ｼｮｰﾄｶｯﾄ</v>
      </c>
      <c r="C46" s="113"/>
      <c r="D46" s="114"/>
    </row>
    <row r="47">
      <c r="B47" s="108"/>
      <c r="C47" s="101"/>
      <c r="D47" s="102"/>
      <c r="F47" s="1"/>
      <c r="G47" s="1"/>
    </row>
    <row r="48">
      <c r="B48" s="110">
        <f>B45+15</f>
        <v>460</v>
      </c>
      <c r="C48" s="1">
        <v>-1000.0</v>
      </c>
      <c r="D48" s="111" t="str">
        <f>HYPERLINK("https://c2.3gokushi.jp/map.php?x="&amp;B48&amp;"&amp;y="&amp;C48,"MAP")</f>
        <v>MAP</v>
      </c>
      <c r="F48" s="1" t="s">
        <v>30</v>
      </c>
    </row>
    <row r="49">
      <c r="B49" s="112" t="str">
        <f>HYPERLINK("https://c2.3gokushi.jp/auto_send_troop/index.php?x=" &amp; B48 &amp;"&amp;y=" &amp; C48,"自動出兵ｼｮｰﾄｶｯﾄ")</f>
        <v>自動出兵ｼｮｰﾄｶｯﾄ</v>
      </c>
      <c r="C49" s="113"/>
      <c r="D49" s="114"/>
      <c r="F49" s="72" t="s">
        <v>75</v>
      </c>
    </row>
    <row r="50">
      <c r="B50" s="108"/>
      <c r="C50" s="101"/>
      <c r="D50" s="102"/>
      <c r="E50" s="30" t="s">
        <v>41</v>
      </c>
      <c r="F50" s="64"/>
      <c r="G50" s="65"/>
      <c r="H50" s="66"/>
      <c r="J50" s="1" t="s">
        <v>11</v>
      </c>
    </row>
    <row r="51">
      <c r="B51" s="110">
        <f>B48+15</f>
        <v>475</v>
      </c>
      <c r="C51" s="1">
        <v>-1050.0</v>
      </c>
      <c r="D51" s="111" t="str">
        <f>HYPERLINK("https://c2.3gokushi.jp/map.php?x="&amp;B51&amp;"&amp;y="&amp;C51,"MAP")</f>
        <v>MAP</v>
      </c>
      <c r="F51" s="67">
        <v>475.0</v>
      </c>
      <c r="G51" s="1">
        <v>-1050.0</v>
      </c>
      <c r="H51" s="68" t="str">
        <f>HYPERLINK("https://c2.3gokushi.jp/map.php?x="&amp;F51&amp;"&amp;y="&amp;G51,"MAP")</f>
        <v>MAP</v>
      </c>
      <c r="J51" s="1" t="s">
        <v>14</v>
      </c>
    </row>
    <row r="52">
      <c r="B52" s="112" t="str">
        <f>HYPERLINK("https://c2.3gokushi.jp/auto_send_troop/index.php?x=" &amp; B51 &amp;"&amp;y=" &amp; C51,"自動出兵ｼｮｰﾄｶｯﾄ")</f>
        <v>自動出兵ｼｮｰﾄｶｯﾄ</v>
      </c>
      <c r="C52" s="113"/>
      <c r="D52" s="114"/>
      <c r="F52" s="69" t="str">
        <f>HYPERLINK("https://c2.3gokushi.jp/auto_send_troop/index.php?x=" &amp; F51 &amp;"&amp;y=" &amp; G51,"自動出兵ｼｮｰﾄｶｯﾄ")</f>
        <v>自動出兵ｼｮｰﾄｶｯﾄ</v>
      </c>
      <c r="G52" s="70"/>
      <c r="H52" s="71"/>
      <c r="J52" s="1" t="s">
        <v>15</v>
      </c>
    </row>
    <row r="53">
      <c r="B53" s="108"/>
      <c r="C53" s="101"/>
      <c r="D53" s="102"/>
      <c r="E53" s="30"/>
      <c r="F53" s="64"/>
      <c r="G53" s="65"/>
      <c r="H53" s="66"/>
    </row>
    <row r="54">
      <c r="B54" s="110">
        <f>B51+15</f>
        <v>490</v>
      </c>
      <c r="C54" s="1">
        <v>-1100.0</v>
      </c>
      <c r="D54" s="111" t="str">
        <f>HYPERLINK("https://c2.3gokushi.jp/map.php?x="&amp;B54&amp;"&amp;y="&amp;C54,"MAP")</f>
        <v>MAP</v>
      </c>
      <c r="F54" s="67">
        <v>525.0</v>
      </c>
      <c r="G54" s="1">
        <v>-1060.0</v>
      </c>
      <c r="H54" s="68" t="str">
        <f>HYPERLINK("https://c2.3gokushi.jp/map.php?x="&amp;F54&amp;"&amp;y="&amp;G54,"MAP")</f>
        <v>MAP</v>
      </c>
    </row>
    <row r="55">
      <c r="B55" s="112" t="str">
        <f>HYPERLINK("https://c2.3gokushi.jp/auto_send_troop/index.php?x=" &amp; B54 &amp;"&amp;y=" &amp; C54,"自動出兵ｼｮｰﾄｶｯﾄ")</f>
        <v>自動出兵ｼｮｰﾄｶｯﾄ</v>
      </c>
      <c r="C55" s="113"/>
      <c r="D55" s="114"/>
      <c r="F55" s="69" t="str">
        <f>HYPERLINK("https://c2.3gokushi.jp/auto_send_troop/index.php?x=" &amp; F54 &amp;"&amp;y=" &amp; G54,"自動出兵ｼｮｰﾄｶｯﾄ")</f>
        <v>自動出兵ｼｮｰﾄｶｯﾄ</v>
      </c>
      <c r="G55" s="70"/>
      <c r="H55" s="71"/>
    </row>
    <row r="56">
      <c r="B56" s="108"/>
      <c r="C56" s="101"/>
      <c r="D56" s="102"/>
      <c r="F56" s="64"/>
      <c r="G56" s="65"/>
      <c r="H56" s="66"/>
    </row>
    <row r="57">
      <c r="B57" s="110">
        <f>B54+15</f>
        <v>505</v>
      </c>
      <c r="C57" s="1">
        <v>-1150.0</v>
      </c>
      <c r="D57" s="111" t="str">
        <f>HYPERLINK("https://c2.3gokushi.jp/map.php?x="&amp;B57&amp;"&amp;y="&amp;C57,"MAP")</f>
        <v>MAP</v>
      </c>
      <c r="F57" s="67">
        <v>575.0</v>
      </c>
      <c r="G57" s="1">
        <v>-1070.0</v>
      </c>
      <c r="H57" s="68" t="str">
        <f>HYPERLINK("https://c2.3gokushi.jp/map.php?x="&amp;F57&amp;"&amp;y="&amp;G57,"MAP")</f>
        <v>MAP</v>
      </c>
    </row>
    <row r="58">
      <c r="B58" s="112" t="str">
        <f>HYPERLINK("https://c2.3gokushi.jp/auto_send_troop/index.php?x=" &amp; B57 &amp;"&amp;y=" &amp; C57,"自動出兵ｼｮｰﾄｶｯﾄ")</f>
        <v>自動出兵ｼｮｰﾄｶｯﾄ</v>
      </c>
      <c r="C58" s="113"/>
      <c r="D58" s="114"/>
      <c r="F58" s="69" t="str">
        <f>HYPERLINK("https://c2.3gokushi.jp/auto_send_troop/index.php?x=" &amp; F57 &amp;"&amp;y=" &amp; G57,"自動出兵ｼｮｰﾄｶｯﾄ")</f>
        <v>自動出兵ｼｮｰﾄｶｯﾄ</v>
      </c>
      <c r="G58" s="70"/>
      <c r="H58" s="71"/>
    </row>
    <row r="59">
      <c r="B59" s="108"/>
      <c r="C59" s="101"/>
      <c r="D59" s="102"/>
      <c r="E59" s="30"/>
      <c r="F59" s="64"/>
      <c r="G59" s="65"/>
      <c r="H59" s="66"/>
    </row>
    <row r="60">
      <c r="B60" s="110">
        <f>B57+15</f>
        <v>520</v>
      </c>
      <c r="C60" s="1">
        <v>-1200.0</v>
      </c>
      <c r="D60" s="111" t="str">
        <f>HYPERLINK("https://c2.3gokushi.jp/map.php?x="&amp;B60&amp;"&amp;y="&amp;C60,"MAP")</f>
        <v>MAP</v>
      </c>
      <c r="F60" s="67">
        <v>625.0</v>
      </c>
      <c r="G60" s="1">
        <v>-1080.0</v>
      </c>
      <c r="H60" s="68" t="str">
        <f>HYPERLINK("https://c2.3gokushi.jp/map.php?x="&amp;F60&amp;"&amp;y="&amp;G60,"MAP")</f>
        <v>MAP</v>
      </c>
    </row>
    <row r="61">
      <c r="B61" s="112" t="str">
        <f>HYPERLINK("https://c2.3gokushi.jp/auto_send_troop/index.php?x=" &amp; B60 &amp;"&amp;y=" &amp; C60,"自動出兵ｼｮｰﾄｶｯﾄ")</f>
        <v>自動出兵ｼｮｰﾄｶｯﾄ</v>
      </c>
      <c r="C61" s="113"/>
      <c r="D61" s="114"/>
      <c r="F61" s="69" t="str">
        <f>HYPERLINK("https://c2.3gokushi.jp/auto_send_troop/index.php?x=" &amp; F60 &amp;"&amp;y=" &amp; G60,"自動出兵ｼｮｰﾄｶｯﾄ")</f>
        <v>自動出兵ｼｮｰﾄｶｯﾄ</v>
      </c>
      <c r="G61" s="70"/>
      <c r="H61" s="71"/>
    </row>
    <row r="62">
      <c r="B62" s="108"/>
      <c r="C62" s="101"/>
      <c r="D62" s="102"/>
      <c r="F62" s="64"/>
      <c r="G62" s="65"/>
      <c r="H62" s="66"/>
    </row>
    <row r="63">
      <c r="B63" s="110">
        <f>B60+15</f>
        <v>535</v>
      </c>
      <c r="C63" s="1">
        <v>-1250.0</v>
      </c>
      <c r="D63" s="111" t="str">
        <f>HYPERLINK("https://c2.3gokushi.jp/map.php?x="&amp;B63&amp;"&amp;y="&amp;C63,"MAP")</f>
        <v>MAP</v>
      </c>
      <c r="E63" s="1" t="s">
        <v>76</v>
      </c>
      <c r="F63" s="67">
        <v>675.0</v>
      </c>
      <c r="G63" s="1">
        <v>-1090.0</v>
      </c>
      <c r="H63" s="68" t="str">
        <f>HYPERLINK("https://c2.3gokushi.jp/map.php?x="&amp;F63&amp;"&amp;y="&amp;G63,"MAP")</f>
        <v>MAP</v>
      </c>
    </row>
    <row r="64">
      <c r="B64" s="112" t="str">
        <f>HYPERLINK("https://c2.3gokushi.jp/auto_send_troop/index.php?x=" &amp; B63 &amp;"&amp;y=" &amp; C63,"自動出兵ｼｮｰﾄｶｯﾄ")</f>
        <v>自動出兵ｼｮｰﾄｶｯﾄ</v>
      </c>
      <c r="C64" s="113"/>
      <c r="D64" s="114"/>
      <c r="E64" s="1" t="s">
        <v>77</v>
      </c>
      <c r="F64" s="69" t="str">
        <f>HYPERLINK("https://c2.3gokushi.jp/auto_send_troop/index.php?x=" &amp; F63 &amp;"&amp;y=" &amp; G63,"自動出兵ｼｮｰﾄｶｯﾄ")</f>
        <v>自動出兵ｼｮｰﾄｶｯﾄ</v>
      </c>
      <c r="G64" s="70"/>
      <c r="H64" s="71"/>
    </row>
    <row r="65">
      <c r="F65" s="64"/>
      <c r="G65" s="65"/>
      <c r="H65" s="66"/>
    </row>
    <row r="66">
      <c r="F66" s="67">
        <v>725.0</v>
      </c>
      <c r="G66" s="1">
        <v>-1100.0</v>
      </c>
      <c r="H66" s="68" t="str">
        <f>HYPERLINK("https://c2.3gokushi.jp/map.php?x="&amp;F66&amp;"&amp;y="&amp;G66,"MAP")</f>
        <v>MAP</v>
      </c>
      <c r="I66" s="1" t="s">
        <v>46</v>
      </c>
    </row>
    <row r="67">
      <c r="F67" s="69" t="str">
        <f>HYPERLINK("https://c2.3gokushi.jp/auto_send_troop/index.php?x=" &amp; F66 &amp;"&amp;y=" &amp; G66,"自動出兵ｼｮｰﾄｶｯﾄ")</f>
        <v>自動出兵ｼｮｰﾄｶｯﾄ</v>
      </c>
      <c r="G67" s="70"/>
      <c r="H67" s="71"/>
      <c r="I67" s="1" t="s">
        <v>54</v>
      </c>
    </row>
  </sheetData>
  <mergeCells count="56">
    <mergeCell ref="B62:D62"/>
    <mergeCell ref="B64:D64"/>
    <mergeCell ref="F64:H64"/>
    <mergeCell ref="F65:H65"/>
    <mergeCell ref="F67:H67"/>
    <mergeCell ref="B58:D58"/>
    <mergeCell ref="F58:H58"/>
    <mergeCell ref="B59:D59"/>
    <mergeCell ref="F59:H59"/>
    <mergeCell ref="B61:D61"/>
    <mergeCell ref="F61:H61"/>
    <mergeCell ref="F62:H62"/>
    <mergeCell ref="B2:D2"/>
    <mergeCell ref="B3:D3"/>
    <mergeCell ref="B5:D5"/>
    <mergeCell ref="B7:D7"/>
    <mergeCell ref="F7:F8"/>
    <mergeCell ref="G7:O8"/>
    <mergeCell ref="B8:D8"/>
    <mergeCell ref="B10:D10"/>
    <mergeCell ref="B11:D11"/>
    <mergeCell ref="B13:D13"/>
    <mergeCell ref="B14:D14"/>
    <mergeCell ref="B16:D16"/>
    <mergeCell ref="B17:D17"/>
    <mergeCell ref="B19:D19"/>
    <mergeCell ref="B20:D20"/>
    <mergeCell ref="B22:D22"/>
    <mergeCell ref="B23:D23"/>
    <mergeCell ref="B25:D25"/>
    <mergeCell ref="B26:D26"/>
    <mergeCell ref="B28:D28"/>
    <mergeCell ref="B29:D29"/>
    <mergeCell ref="B31:D31"/>
    <mergeCell ref="B32:D32"/>
    <mergeCell ref="B34:D34"/>
    <mergeCell ref="B35:D35"/>
    <mergeCell ref="B37:D37"/>
    <mergeCell ref="B38:D38"/>
    <mergeCell ref="B40:D40"/>
    <mergeCell ref="B41:D41"/>
    <mergeCell ref="B43:D43"/>
    <mergeCell ref="B44:D44"/>
    <mergeCell ref="B46:D46"/>
    <mergeCell ref="B47:D47"/>
    <mergeCell ref="B49:D49"/>
    <mergeCell ref="F50:H50"/>
    <mergeCell ref="F55:H55"/>
    <mergeCell ref="F56:H56"/>
    <mergeCell ref="B50:D50"/>
    <mergeCell ref="B52:D52"/>
    <mergeCell ref="F52:H52"/>
    <mergeCell ref="B53:D53"/>
    <mergeCell ref="F53:H53"/>
    <mergeCell ref="B55:D55"/>
    <mergeCell ref="B56:D56"/>
  </mergeCells>
  <hyperlinks>
    <hyperlink display="使用方法等は目次・取説タブ参照のこと" location="'目次・取説'!A1" ref="N1"/>
    <hyperlink display="目次・取説" location="'目次・取説'!A1" ref="F11"/>
    <hyperlink display="南東大幹線＋東（下邳）" location="'南東大幹線ルート'!A1" ref="F13"/>
    <hyperlink display="南・朱雀・長沙" location="'南ルート '!A1" ref="F15"/>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4" width="4.88"/>
    <col customWidth="1" min="5" max="5" width="10.13"/>
    <col customWidth="1" min="6" max="22" width="4.88"/>
  </cols>
  <sheetData>
    <row r="1">
      <c r="B1" s="27" t="s">
        <v>28</v>
      </c>
      <c r="N1" s="28" t="s">
        <v>29</v>
      </c>
    </row>
    <row r="2" ht="15.0" customHeight="1">
      <c r="A2" s="1">
        <v>7.0</v>
      </c>
      <c r="B2" s="118" t="s">
        <v>78</v>
      </c>
      <c r="C2" s="101"/>
      <c r="D2" s="102"/>
      <c r="E2" s="30"/>
      <c r="F2" s="93" t="s">
        <v>79</v>
      </c>
      <c r="G2" s="30"/>
      <c r="H2" s="30"/>
      <c r="I2" s="30"/>
      <c r="J2" s="30"/>
      <c r="K2" s="30"/>
      <c r="L2" s="30"/>
      <c r="M2" s="30"/>
      <c r="N2" s="30"/>
      <c r="O2" s="30"/>
      <c r="P2" s="30"/>
      <c r="Q2" s="30"/>
      <c r="R2" s="30"/>
      <c r="S2" s="30"/>
      <c r="T2" s="30"/>
      <c r="U2" s="30"/>
      <c r="V2" s="30"/>
    </row>
    <row r="3" ht="15.0" customHeight="1">
      <c r="B3" s="119" t="s">
        <v>80</v>
      </c>
      <c r="D3" s="104"/>
      <c r="E3" s="30"/>
      <c r="F3" s="1" t="s">
        <v>72</v>
      </c>
      <c r="G3" s="30"/>
      <c r="H3" s="30"/>
      <c r="I3" s="30"/>
      <c r="J3" s="30"/>
      <c r="K3" s="30"/>
      <c r="L3" s="30"/>
      <c r="M3" s="30"/>
      <c r="N3" s="30"/>
      <c r="O3" s="30"/>
      <c r="P3" s="30"/>
      <c r="Q3" s="30"/>
      <c r="R3" s="30"/>
      <c r="S3" s="30"/>
      <c r="T3" s="30"/>
      <c r="U3" s="30"/>
      <c r="V3" s="30"/>
    </row>
    <row r="4" ht="15.0" customHeight="1">
      <c r="B4" s="120" t="s">
        <v>33</v>
      </c>
      <c r="C4" s="121" t="s">
        <v>34</v>
      </c>
      <c r="D4" s="122"/>
      <c r="F4" s="109" t="s">
        <v>73</v>
      </c>
    </row>
    <row r="5" ht="15.0" customHeight="1">
      <c r="A5" s="1" t="s">
        <v>11</v>
      </c>
      <c r="B5" s="108"/>
      <c r="C5" s="101"/>
      <c r="D5" s="102"/>
      <c r="E5" s="37"/>
      <c r="F5" s="109"/>
      <c r="G5" s="37"/>
      <c r="H5" s="37"/>
      <c r="I5" s="37"/>
      <c r="J5" s="37"/>
      <c r="K5" s="37"/>
      <c r="L5" s="37"/>
      <c r="M5" s="37"/>
      <c r="N5" s="30" t="s">
        <v>1</v>
      </c>
      <c r="O5" s="37"/>
      <c r="P5" s="37"/>
      <c r="Q5" s="37"/>
      <c r="R5" s="37"/>
      <c r="S5" s="37"/>
      <c r="T5" s="37"/>
      <c r="U5" s="37"/>
      <c r="V5" s="37"/>
    </row>
    <row r="6" ht="15.0" customHeight="1">
      <c r="A6" s="1" t="s">
        <v>14</v>
      </c>
      <c r="B6" s="110">
        <v>-135.0</v>
      </c>
      <c r="C6" s="1">
        <v>-230.0</v>
      </c>
      <c r="D6" s="111" t="str">
        <f>HYPERLINK("https://c2.3gokushi.jp/map.php?x="&amp;B6&amp;"&amp;y="&amp;C6,"MAP")</f>
        <v>MAP</v>
      </c>
      <c r="F6" s="93"/>
      <c r="G6" s="38"/>
      <c r="N6" s="32" t="s">
        <v>32</v>
      </c>
    </row>
    <row r="7" ht="15.0" customHeight="1">
      <c r="A7" s="1" t="s">
        <v>15</v>
      </c>
      <c r="B7" s="112" t="str">
        <f>HYPERLINK("https://c2.3gokushi.jp/auto_send_troop/index.php?x=" &amp; B6 &amp;"&amp;y=" &amp; C6,"自動出兵ｼｮｰﾄｶｯﾄ")</f>
        <v>自動出兵ｼｮｰﾄｶｯﾄ</v>
      </c>
      <c r="C7" s="113"/>
      <c r="D7" s="114"/>
      <c r="E7" s="30"/>
      <c r="F7" s="115"/>
      <c r="G7" s="116"/>
      <c r="H7" s="116"/>
      <c r="I7" s="116"/>
      <c r="J7" s="116"/>
      <c r="K7" s="116"/>
      <c r="L7" s="116"/>
      <c r="M7" s="116"/>
      <c r="N7" s="36"/>
      <c r="O7" s="116"/>
      <c r="P7" s="30"/>
      <c r="Q7" s="30"/>
      <c r="R7" s="30"/>
      <c r="S7" s="30"/>
      <c r="T7" s="30"/>
      <c r="U7" s="30"/>
      <c r="V7" s="30"/>
    </row>
    <row r="8" ht="15.0" customHeight="1">
      <c r="B8" s="108"/>
      <c r="C8" s="101"/>
      <c r="D8" s="102"/>
      <c r="E8" s="41"/>
      <c r="G8" s="116"/>
      <c r="H8" s="116"/>
      <c r="I8" s="116"/>
      <c r="J8" s="116"/>
      <c r="K8" s="116"/>
      <c r="L8" s="116"/>
      <c r="M8" s="116"/>
      <c r="N8" s="87" t="s">
        <v>2</v>
      </c>
      <c r="O8" s="116"/>
      <c r="P8" s="41"/>
      <c r="Q8" s="41"/>
      <c r="R8" s="41"/>
      <c r="S8" s="41"/>
      <c r="T8" s="41"/>
      <c r="U8" s="41"/>
      <c r="V8" s="41"/>
    </row>
    <row r="9" ht="15.0" customHeight="1">
      <c r="B9" s="110">
        <f>B6-50</f>
        <v>-185</v>
      </c>
      <c r="C9" s="1">
        <v>-220.0</v>
      </c>
      <c r="D9" s="111" t="str">
        <f>HYPERLINK("https://c2.3gokushi.jp/map.php?x="&amp;B9&amp;"&amp;y="&amp;C9,"MAP")</f>
        <v>MAP</v>
      </c>
      <c r="F9" s="38"/>
      <c r="G9" s="38"/>
      <c r="N9" s="36"/>
    </row>
    <row r="10" ht="15.0" customHeight="1">
      <c r="B10" s="112" t="str">
        <f>HYPERLINK("https://c2.3gokushi.jp/auto_send_troop/index.php?x=" &amp; B9 &amp;"&amp;y=" &amp; C9,"自動出兵ｼｮｰﾄｶｯﾄ")</f>
        <v>自動出兵ｼｮｰﾄｶｯﾄ</v>
      </c>
      <c r="C10" s="113"/>
      <c r="D10" s="114"/>
      <c r="E10" s="95" t="s">
        <v>81</v>
      </c>
      <c r="G10" s="41"/>
      <c r="H10" s="41"/>
      <c r="I10" s="41"/>
      <c r="J10" s="41"/>
      <c r="K10" s="41"/>
      <c r="L10" s="41"/>
      <c r="M10" s="30"/>
      <c r="N10" s="32" t="s">
        <v>3</v>
      </c>
      <c r="O10" s="30"/>
      <c r="P10" s="30"/>
      <c r="Q10" s="30"/>
      <c r="R10" s="30"/>
      <c r="S10" s="30"/>
      <c r="T10" s="30"/>
      <c r="U10" s="30"/>
      <c r="V10" s="30"/>
    </row>
    <row r="11" ht="15.0" customHeight="1">
      <c r="B11" s="108"/>
      <c r="C11" s="101"/>
      <c r="D11" s="102"/>
      <c r="E11" s="41" t="s">
        <v>41</v>
      </c>
      <c r="F11" s="123"/>
      <c r="G11" s="124"/>
      <c r="H11" s="125"/>
      <c r="I11" s="1" t="s">
        <v>11</v>
      </c>
      <c r="J11" s="41"/>
      <c r="K11" s="41"/>
      <c r="L11" s="41"/>
      <c r="M11" s="41"/>
      <c r="N11" s="38"/>
      <c r="O11" s="41"/>
      <c r="P11" s="41"/>
      <c r="Q11" s="41"/>
      <c r="R11" s="41"/>
      <c r="S11" s="41"/>
      <c r="T11" s="41"/>
      <c r="U11" s="41"/>
      <c r="V11" s="41"/>
    </row>
    <row r="12" ht="15.0" customHeight="1">
      <c r="B12" s="110">
        <f>B9-50</f>
        <v>-235</v>
      </c>
      <c r="C12" s="1">
        <v>-230.0</v>
      </c>
      <c r="D12" s="111" t="str">
        <f>HYPERLINK("https://c2.3gokushi.jp/map.php?x="&amp;B12&amp;"&amp;y="&amp;C12,"MAP")</f>
        <v>MAP</v>
      </c>
      <c r="F12" s="126">
        <v>-235.0</v>
      </c>
      <c r="G12" s="1">
        <v>-230.0</v>
      </c>
      <c r="H12" s="127" t="str">
        <f>HYPERLINK("https://c2.3gokushi.jp/map.php?x="&amp;F12&amp;"&amp;y="&amp;G12,"MAP")</f>
        <v>MAP</v>
      </c>
      <c r="I12" s="1" t="s">
        <v>14</v>
      </c>
      <c r="J12" s="41"/>
      <c r="K12" s="41"/>
      <c r="L12" s="41"/>
      <c r="N12" s="32" t="s">
        <v>4</v>
      </c>
    </row>
    <row r="13" ht="15.0" customHeight="1">
      <c r="B13" s="112" t="str">
        <f>HYPERLINK("https://c2.3gokushi.jp/auto_send_troop/index.php?x=" &amp; B12 &amp;"&amp;y=" &amp; C12,"自動出兵ｼｮｰﾄｶｯﾄ")</f>
        <v>自動出兵ｼｮｰﾄｶｯﾄ</v>
      </c>
      <c r="C13" s="113"/>
      <c r="D13" s="114"/>
      <c r="E13" s="30"/>
      <c r="F13" s="128" t="str">
        <f>HYPERLINK("https://c2.3gokushi.jp/auto_send_troop/index.php?x=" &amp; F12 &amp;"&amp;y=" &amp; G12,"自動出兵ｼｮｰﾄｶｯﾄ")</f>
        <v>自動出兵ｼｮｰﾄｶｯﾄ</v>
      </c>
      <c r="G13" s="129"/>
      <c r="H13" s="130"/>
      <c r="I13" s="1" t="s">
        <v>15</v>
      </c>
      <c r="J13" s="41"/>
      <c r="K13" s="41"/>
      <c r="L13" s="41"/>
      <c r="O13" s="30"/>
      <c r="P13" s="30"/>
      <c r="Q13" s="30"/>
      <c r="R13" s="30"/>
      <c r="S13" s="30"/>
      <c r="T13" s="30"/>
      <c r="U13" s="30"/>
      <c r="V13" s="30"/>
    </row>
    <row r="14" ht="15.0" customHeight="1">
      <c r="B14" s="108"/>
      <c r="C14" s="101"/>
      <c r="D14" s="102"/>
      <c r="E14" s="30"/>
      <c r="F14" s="123"/>
      <c r="G14" s="124"/>
      <c r="H14" s="125"/>
      <c r="I14" s="41"/>
      <c r="J14" s="41"/>
      <c r="K14" s="41"/>
      <c r="L14" s="41"/>
      <c r="O14" s="96"/>
      <c r="P14" s="96"/>
      <c r="Q14" s="96"/>
      <c r="R14" s="96"/>
      <c r="S14" s="96"/>
      <c r="T14" s="96"/>
      <c r="U14" s="96"/>
      <c r="V14" s="96"/>
    </row>
    <row r="15" ht="15.0" customHeight="1">
      <c r="B15" s="110">
        <f>B12-50</f>
        <v>-285</v>
      </c>
      <c r="C15" s="1">
        <v>-250.0</v>
      </c>
      <c r="D15" s="111" t="str">
        <f>HYPERLINK("https://c2.3gokushi.jp/map.php?x="&amp;B15&amp;"&amp;y="&amp;C15,"MAP")</f>
        <v>MAP</v>
      </c>
      <c r="F15" s="126">
        <f>F12-50</f>
        <v>-285</v>
      </c>
      <c r="G15" s="1">
        <f>G12+50</f>
        <v>-180</v>
      </c>
      <c r="H15" s="127" t="str">
        <f>HYPERLINK("https://c2.3gokushi.jp/map.php?x="&amp;F15&amp;"&amp;y="&amp;G15,"MAP")</f>
        <v>MAP</v>
      </c>
      <c r="I15" s="41"/>
      <c r="J15" s="41"/>
      <c r="K15" s="41"/>
      <c r="L15" s="41"/>
    </row>
    <row r="16" ht="15.0" customHeight="1">
      <c r="B16" s="112" t="str">
        <f>HYPERLINK("https://c2.3gokushi.jp/auto_send_troop/index.php?x=" &amp; B15 &amp;"&amp;y=" &amp; C15,"自動出兵ｼｮｰﾄｶｯﾄ")</f>
        <v>自動出兵ｼｮｰﾄｶｯﾄ</v>
      </c>
      <c r="C16" s="113"/>
      <c r="D16" s="114"/>
      <c r="E16" s="30"/>
      <c r="F16" s="128" t="str">
        <f>HYPERLINK("https://c2.3gokushi.jp/auto_send_troop/index.php?x=" &amp; F15 &amp;"&amp;y=" &amp; G15,"自動出兵ｼｮｰﾄｶｯﾄ")</f>
        <v>自動出兵ｼｮｰﾄｶｯﾄ</v>
      </c>
      <c r="G16" s="129"/>
      <c r="H16" s="130"/>
      <c r="I16" s="41"/>
      <c r="J16" s="41"/>
      <c r="K16" s="41"/>
      <c r="L16" s="41"/>
      <c r="O16" s="30"/>
      <c r="P16" s="30"/>
      <c r="Q16" s="30"/>
      <c r="R16" s="30"/>
      <c r="S16" s="30"/>
      <c r="T16" s="30"/>
      <c r="U16" s="30"/>
      <c r="V16" s="30"/>
    </row>
    <row r="17" ht="15.0" customHeight="1">
      <c r="B17" s="108"/>
      <c r="C17" s="101"/>
      <c r="D17" s="102"/>
      <c r="E17" s="41"/>
      <c r="F17" s="123"/>
      <c r="G17" s="124"/>
      <c r="H17" s="125"/>
      <c r="I17" s="41"/>
      <c r="J17" s="41"/>
      <c r="K17" s="41"/>
      <c r="L17" s="41"/>
      <c r="O17" s="41"/>
      <c r="P17" s="41"/>
      <c r="Q17" s="41"/>
      <c r="R17" s="41"/>
      <c r="S17" s="41"/>
      <c r="T17" s="41"/>
      <c r="U17" s="41"/>
      <c r="V17" s="41"/>
    </row>
    <row r="18" ht="15.0" customHeight="1">
      <c r="B18" s="110">
        <f>B15-50</f>
        <v>-335</v>
      </c>
      <c r="C18" s="1">
        <v>-250.0</v>
      </c>
      <c r="D18" s="111" t="str">
        <f>HYPERLINK("https://c2.3gokushi.jp/map.php?x="&amp;B18&amp;"&amp;y="&amp;C18,"MAP")</f>
        <v>MAP</v>
      </c>
      <c r="F18" s="126">
        <f>F15-50</f>
        <v>-335</v>
      </c>
      <c r="G18" s="1">
        <f>G15+50</f>
        <v>-130</v>
      </c>
      <c r="H18" s="127" t="str">
        <f>HYPERLINK("https://c2.3gokushi.jp/map.php?x="&amp;F18&amp;"&amp;y="&amp;G18,"MAP")</f>
        <v>MAP</v>
      </c>
      <c r="I18" s="41"/>
      <c r="J18" s="41"/>
      <c r="K18" s="41"/>
      <c r="L18" s="41"/>
    </row>
    <row r="19" ht="15.0" customHeight="1">
      <c r="B19" s="112" t="str">
        <f>HYPERLINK("https://c2.3gokushi.jp/auto_send_troop/index.php?x=" &amp; B18 &amp;"&amp;y=" &amp; C18,"自動出兵ｼｮｰﾄｶｯﾄ")</f>
        <v>自動出兵ｼｮｰﾄｶｯﾄ</v>
      </c>
      <c r="C19" s="113"/>
      <c r="D19" s="114"/>
      <c r="E19" s="30"/>
      <c r="F19" s="128" t="str">
        <f>HYPERLINK("https://c2.3gokushi.jp/auto_send_troop/index.php?x=" &amp; F18 &amp;"&amp;y=" &amp; G18,"自動出兵ｼｮｰﾄｶｯﾄ")</f>
        <v>自動出兵ｼｮｰﾄｶｯﾄ</v>
      </c>
      <c r="G19" s="129"/>
      <c r="H19" s="130"/>
      <c r="I19" s="41"/>
      <c r="J19" s="41"/>
      <c r="K19" s="41"/>
      <c r="L19" s="41"/>
      <c r="O19" s="30"/>
      <c r="P19" s="30"/>
      <c r="Q19" s="30"/>
      <c r="R19" s="30"/>
      <c r="S19" s="30"/>
      <c r="T19" s="30"/>
      <c r="U19" s="30"/>
      <c r="V19" s="30"/>
    </row>
    <row r="20" ht="15.0" customHeight="1">
      <c r="B20" s="108"/>
      <c r="C20" s="101"/>
      <c r="D20" s="102"/>
      <c r="E20" s="41"/>
      <c r="F20" s="123"/>
      <c r="G20" s="124"/>
      <c r="H20" s="125"/>
      <c r="I20" s="41"/>
      <c r="J20" s="41"/>
      <c r="K20" s="41"/>
      <c r="L20" s="41"/>
      <c r="O20" s="41"/>
      <c r="P20" s="41"/>
      <c r="Q20" s="41"/>
      <c r="R20" s="41"/>
      <c r="S20" s="41"/>
      <c r="T20" s="41"/>
      <c r="U20" s="41"/>
      <c r="V20" s="41"/>
    </row>
    <row r="21" ht="15.0" customHeight="1">
      <c r="B21" s="110">
        <f>B18-50</f>
        <v>-385</v>
      </c>
      <c r="C21" s="1">
        <v>-250.0</v>
      </c>
      <c r="D21" s="111" t="str">
        <f>HYPERLINK("https://c2.3gokushi.jp/map.php?x="&amp;B21&amp;"&amp;y="&amp;C21,"MAP")</f>
        <v>MAP</v>
      </c>
      <c r="F21" s="126">
        <f>F18-50</f>
        <v>-385</v>
      </c>
      <c r="G21" s="1">
        <f>G18+50</f>
        <v>-80</v>
      </c>
      <c r="H21" s="127" t="str">
        <f>HYPERLINK("https://c2.3gokushi.jp/map.php?x="&amp;F21&amp;"&amp;y="&amp;G21,"MAP")</f>
        <v>MAP</v>
      </c>
    </row>
    <row r="22" ht="15.0" customHeight="1">
      <c r="B22" s="112" t="str">
        <f>HYPERLINK("https://c2.3gokushi.jp/auto_send_troop/index.php?x=" &amp; B21 &amp;"&amp;y=" &amp; C21,"自動出兵ｼｮｰﾄｶｯﾄ")</f>
        <v>自動出兵ｼｮｰﾄｶｯﾄ</v>
      </c>
      <c r="C22" s="113"/>
      <c r="D22" s="114"/>
      <c r="E22" s="30"/>
      <c r="F22" s="128" t="str">
        <f>HYPERLINK("https://c2.3gokushi.jp/auto_send_troop/index.php?x=" &amp; F21 &amp;"&amp;y=" &amp; G21,"自動出兵ｼｮｰﾄｶｯﾄ")</f>
        <v>自動出兵ｼｮｰﾄｶｯﾄ</v>
      </c>
      <c r="G22" s="129"/>
      <c r="H22" s="130"/>
      <c r="I22" s="30"/>
      <c r="J22" s="30"/>
      <c r="K22" s="30"/>
      <c r="L22" s="30"/>
      <c r="O22" s="30"/>
      <c r="P22" s="30"/>
      <c r="Q22" s="30"/>
      <c r="R22" s="30"/>
      <c r="S22" s="30"/>
      <c r="T22" s="30"/>
      <c r="U22" s="30"/>
      <c r="V22" s="30"/>
    </row>
    <row r="23" ht="15.0" customHeight="1">
      <c r="B23" s="108"/>
      <c r="C23" s="101"/>
      <c r="D23" s="102"/>
      <c r="E23" s="41"/>
      <c r="F23" s="123"/>
      <c r="G23" s="124"/>
      <c r="H23" s="125"/>
      <c r="I23" s="41"/>
      <c r="J23" s="41"/>
      <c r="K23" s="41"/>
      <c r="L23" s="41"/>
      <c r="O23" s="41"/>
      <c r="P23" s="41"/>
      <c r="Q23" s="41"/>
      <c r="R23" s="41"/>
      <c r="S23" s="41"/>
      <c r="T23" s="41"/>
      <c r="U23" s="41"/>
      <c r="V23" s="41"/>
    </row>
    <row r="24" ht="15.0" customHeight="1">
      <c r="B24" s="110">
        <f>B21-50</f>
        <v>-435</v>
      </c>
      <c r="C24" s="1">
        <v>-230.0</v>
      </c>
      <c r="D24" s="111" t="str">
        <f>HYPERLINK("https://c2.3gokushi.jp/map.php?x="&amp;B24&amp;"&amp;y="&amp;C24,"MAP")</f>
        <v>MAP</v>
      </c>
      <c r="F24" s="126">
        <f>F21-50</f>
        <v>-435</v>
      </c>
      <c r="G24" s="1">
        <f>G21+50</f>
        <v>-30</v>
      </c>
      <c r="H24" s="127" t="str">
        <f>HYPERLINK("https://c2.3gokushi.jp/map.php?x="&amp;F24&amp;"&amp;y="&amp;G24,"MAP")</f>
        <v>MAP</v>
      </c>
    </row>
    <row r="25" ht="15.0" customHeight="1">
      <c r="B25" s="112" t="str">
        <f>HYPERLINK("https://c2.3gokushi.jp/auto_send_troop/index.php?x=" &amp; B24 &amp;"&amp;y=" &amp; C24,"自動出兵ｼｮｰﾄｶｯﾄ")</f>
        <v>自動出兵ｼｮｰﾄｶｯﾄ</v>
      </c>
      <c r="C25" s="113"/>
      <c r="D25" s="114"/>
      <c r="E25" s="30"/>
      <c r="F25" s="128" t="str">
        <f>HYPERLINK("https://c2.3gokushi.jp/auto_send_troop/index.php?x=" &amp; F24 &amp;"&amp;y=" &amp; G24,"自動出兵ｼｮｰﾄｶｯﾄ")</f>
        <v>自動出兵ｼｮｰﾄｶｯﾄ</v>
      </c>
      <c r="G25" s="129"/>
      <c r="H25" s="130"/>
      <c r="I25" s="30"/>
      <c r="J25" s="30"/>
      <c r="K25" s="30"/>
      <c r="L25" s="30"/>
      <c r="O25" s="30"/>
      <c r="P25" s="30"/>
      <c r="Q25" s="30"/>
      <c r="R25" s="30"/>
      <c r="S25" s="30"/>
      <c r="T25" s="30"/>
      <c r="U25" s="30"/>
      <c r="V25" s="30"/>
    </row>
    <row r="26" ht="15.0" customHeight="1">
      <c r="B26" s="108"/>
      <c r="C26" s="101"/>
      <c r="D26" s="102"/>
      <c r="E26" s="30"/>
      <c r="F26" s="123"/>
      <c r="G26" s="124"/>
      <c r="H26" s="125"/>
    </row>
    <row r="27" ht="15.0" customHeight="1">
      <c r="B27" s="110">
        <f>B24-50</f>
        <v>-485</v>
      </c>
      <c r="C27" s="1">
        <v>-230.0</v>
      </c>
      <c r="D27" s="111" t="str">
        <f>HYPERLINK("https://c2.3gokushi.jp/map.php?x="&amp;B27&amp;"&amp;y="&amp;C27,"MAP")</f>
        <v>MAP</v>
      </c>
      <c r="F27" s="126">
        <f>F24-50</f>
        <v>-485</v>
      </c>
      <c r="G27" s="1">
        <f>G24+50</f>
        <v>20</v>
      </c>
      <c r="H27" s="127" t="str">
        <f>HYPERLINK("https://c2.3gokushi.jp/map.php?x="&amp;F27&amp;"&amp;y="&amp;G27,"MAP")</f>
        <v>MAP</v>
      </c>
    </row>
    <row r="28" ht="15.0" customHeight="1">
      <c r="B28" s="131" t="str">
        <f>HYPERLINK("https://c2.3gokushi.jp/auto_send_troop/index.php?x=" &amp; B27 &amp;"&amp;y=" &amp; C27,"自動出兵ｼｮｰﾄｶｯﾄ")</f>
        <v>自動出兵ｼｮｰﾄｶｯﾄ</v>
      </c>
      <c r="D28" s="104"/>
      <c r="F28" s="128" t="str">
        <f>HYPERLINK("https://c2.3gokushi.jp/auto_send_troop/index.php?x=" &amp; F27 &amp;"&amp;y=" &amp; G27,"自動出兵ｼｮｰﾄｶｯﾄ")</f>
        <v>自動出兵ｼｮｰﾄｶｯﾄ</v>
      </c>
      <c r="G28" s="129"/>
      <c r="H28" s="130"/>
      <c r="I28" s="1"/>
      <c r="J28" s="1"/>
      <c r="K28" s="1"/>
      <c r="L28" s="1"/>
      <c r="O28" s="1"/>
      <c r="P28" s="1"/>
      <c r="Q28" s="1"/>
      <c r="R28" s="1"/>
      <c r="S28" s="1"/>
      <c r="T28" s="1"/>
      <c r="U28" s="1"/>
      <c r="V28" s="1"/>
    </row>
    <row r="29" ht="15.0" customHeight="1">
      <c r="B29" s="132"/>
      <c r="C29" s="51"/>
      <c r="D29" s="52"/>
      <c r="F29" s="123"/>
      <c r="G29" s="124"/>
      <c r="H29" s="125"/>
    </row>
    <row r="30" ht="15.0" customHeight="1">
      <c r="B30" s="98">
        <f t="shared" ref="B30:C30" si="1">B27-50</f>
        <v>-535</v>
      </c>
      <c r="C30" s="1">
        <f t="shared" si="1"/>
        <v>-280</v>
      </c>
      <c r="D30" s="89" t="str">
        <f>HYPERLINK("https://c2.3gokushi.jp/map.php?x="&amp;B30&amp;"&amp;y="&amp;C30,"MAP")</f>
        <v>MAP</v>
      </c>
      <c r="F30" s="126">
        <f>F27-50</f>
        <v>-535</v>
      </c>
      <c r="G30" s="1">
        <f>G27+50</f>
        <v>70</v>
      </c>
      <c r="H30" s="127" t="str">
        <f>HYPERLINK("https://c2.3gokushi.jp/map.php?x="&amp;F30&amp;"&amp;y="&amp;G30,"MAP")</f>
        <v>MAP</v>
      </c>
    </row>
    <row r="31" ht="15.0" customHeight="1">
      <c r="B31" s="133" t="str">
        <f>HYPERLINK("https://c2.3gokushi.jp/auto_send_troop/index.php?x=" &amp; B30 &amp;"&amp;y=" &amp; C30,"自動出兵ｼｮｰﾄｶｯﾄ")</f>
        <v>自動出兵ｼｮｰﾄｶｯﾄ</v>
      </c>
      <c r="C31" s="113"/>
      <c r="D31" s="134"/>
      <c r="F31" s="128" t="str">
        <f>HYPERLINK("https://c2.3gokushi.jp/auto_send_troop/index.php?x=" &amp; F30 &amp;"&amp;y=" &amp; G30,"自動出兵ｼｮｰﾄｶｯﾄ")</f>
        <v>自動出兵ｼｮｰﾄｶｯﾄ</v>
      </c>
      <c r="G31" s="129"/>
      <c r="H31" s="130"/>
    </row>
    <row r="32" ht="15.0" customHeight="1">
      <c r="A32" s="1" t="s">
        <v>82</v>
      </c>
      <c r="B32" s="135"/>
      <c r="C32" s="101"/>
      <c r="D32" s="136"/>
      <c r="E32" s="30"/>
      <c r="F32" s="123"/>
      <c r="G32" s="124"/>
      <c r="H32" s="125"/>
      <c r="I32" s="1"/>
      <c r="J32" s="1"/>
      <c r="K32" s="1"/>
      <c r="L32" s="1"/>
      <c r="M32" s="1"/>
      <c r="N32" s="1"/>
      <c r="O32" s="1"/>
      <c r="P32" s="1"/>
      <c r="Q32" s="1"/>
      <c r="R32" s="1"/>
      <c r="S32" s="1"/>
      <c r="T32" s="1"/>
      <c r="U32" s="1"/>
      <c r="V32" s="1"/>
    </row>
    <row r="33" ht="15.0" customHeight="1">
      <c r="A33" s="1" t="s">
        <v>83</v>
      </c>
      <c r="B33" s="98">
        <f t="shared" ref="B33:C33" si="2">B30-50</f>
        <v>-585</v>
      </c>
      <c r="C33" s="1">
        <f t="shared" si="2"/>
        <v>-330</v>
      </c>
      <c r="D33" s="89" t="str">
        <f>HYPERLINK("https://c2.3gokushi.jp/map.php?x="&amp;B33&amp;"&amp;y="&amp;C33,"MAP")</f>
        <v>MAP</v>
      </c>
      <c r="F33" s="126">
        <f>F30-50</f>
        <v>-585</v>
      </c>
      <c r="G33" s="1">
        <f>G30+50</f>
        <v>120</v>
      </c>
      <c r="H33" s="127" t="str">
        <f>HYPERLINK("https://c2.3gokushi.jp/map.php?x="&amp;F33&amp;"&amp;y="&amp;G33,"MAP")</f>
        <v>MAP</v>
      </c>
    </row>
    <row r="34" ht="15.0" customHeight="1">
      <c r="A34" s="1" t="s">
        <v>84</v>
      </c>
      <c r="B34" s="133" t="str">
        <f>HYPERLINK("https://c2.3gokushi.jp/auto_send_troop/index.php?x=" &amp; B33 &amp;"&amp;y=" &amp; C33,"自動出兵ｼｮｰﾄｶｯﾄ")</f>
        <v>自動出兵ｼｮｰﾄｶｯﾄ</v>
      </c>
      <c r="C34" s="113"/>
      <c r="D34" s="134"/>
      <c r="F34" s="128" t="str">
        <f>HYPERLINK("https://c2.3gokushi.jp/auto_send_troop/index.php?x=" &amp; F33 &amp;"&amp;y=" &amp; G33,"自動出兵ｼｮｰﾄｶｯﾄ")</f>
        <v>自動出兵ｼｮｰﾄｶｯﾄ</v>
      </c>
      <c r="G34" s="129"/>
      <c r="H34" s="130"/>
    </row>
    <row r="35" ht="15.0" customHeight="1">
      <c r="B35" s="135"/>
      <c r="C35" s="101"/>
      <c r="D35" s="136"/>
      <c r="F35" s="123"/>
      <c r="G35" s="124"/>
      <c r="H35" s="125"/>
    </row>
    <row r="36" ht="15.0" customHeight="1">
      <c r="B36" s="98">
        <f t="shared" ref="B36:C36" si="3">B33-50</f>
        <v>-635</v>
      </c>
      <c r="C36" s="1">
        <f t="shared" si="3"/>
        <v>-380</v>
      </c>
      <c r="D36" s="89" t="str">
        <f>HYPERLINK("https://c2.3gokushi.jp/map.php?x="&amp;B36&amp;"&amp;y="&amp;C36,"MAP")</f>
        <v>MAP</v>
      </c>
      <c r="E36" s="1"/>
      <c r="F36" s="126">
        <f>F33-50</f>
        <v>-635</v>
      </c>
      <c r="G36" s="1">
        <f>G33+50</f>
        <v>170</v>
      </c>
      <c r="H36" s="127" t="str">
        <f>HYPERLINK("https://c2.3gokushi.jp/map.php?x="&amp;F36&amp;"&amp;y="&amp;G36,"MAP")</f>
        <v>MAP</v>
      </c>
      <c r="I36" s="1"/>
      <c r="J36" s="1"/>
      <c r="K36" s="1"/>
      <c r="L36" s="1"/>
      <c r="M36" s="1"/>
      <c r="N36" s="1"/>
      <c r="O36" s="1"/>
      <c r="P36" s="1"/>
      <c r="Q36" s="1"/>
      <c r="R36" s="1"/>
      <c r="S36" s="1"/>
      <c r="T36" s="1"/>
      <c r="U36" s="1"/>
      <c r="V36" s="1"/>
    </row>
    <row r="37" ht="15.0" customHeight="1">
      <c r="B37" s="133" t="str">
        <f>HYPERLINK("https://c2.3gokushi.jp/auto_send_troop/index.php?x=" &amp; B36 &amp;"&amp;y=" &amp; C36,"自動出兵ｼｮｰﾄｶｯﾄ")</f>
        <v>自動出兵ｼｮｰﾄｶｯﾄ</v>
      </c>
      <c r="C37" s="113"/>
      <c r="D37" s="134"/>
      <c r="F37" s="128" t="str">
        <f>HYPERLINK("https://c2.3gokushi.jp/auto_send_troop/index.php?x=" &amp; F36 &amp;"&amp;y=" &amp; G36,"自動出兵ｼｮｰﾄｶｯﾄ")</f>
        <v>自動出兵ｼｮｰﾄｶｯﾄ</v>
      </c>
      <c r="G37" s="129"/>
      <c r="H37" s="130"/>
    </row>
    <row r="38" ht="15.0" customHeight="1">
      <c r="B38" s="135"/>
      <c r="C38" s="101"/>
      <c r="D38" s="136"/>
      <c r="F38" s="123"/>
      <c r="G38" s="124"/>
      <c r="H38" s="125"/>
    </row>
    <row r="39" ht="15.0" customHeight="1">
      <c r="B39" s="98">
        <f t="shared" ref="B39:C39" si="4">B36-50</f>
        <v>-685</v>
      </c>
      <c r="C39" s="1">
        <f t="shared" si="4"/>
        <v>-430</v>
      </c>
      <c r="D39" s="89" t="str">
        <f>HYPERLINK("https://c2.3gokushi.jp/map.php?x="&amp;B39&amp;"&amp;y="&amp;C39,"MAP")</f>
        <v>MAP</v>
      </c>
      <c r="F39" s="126">
        <f>F36-50</f>
        <v>-685</v>
      </c>
      <c r="G39" s="1">
        <f>G36+50</f>
        <v>220</v>
      </c>
      <c r="H39" s="127" t="str">
        <f>HYPERLINK("https://c2.3gokushi.jp/map.php?x="&amp;F39&amp;"&amp;y="&amp;G39,"MAP")</f>
        <v>MAP</v>
      </c>
    </row>
    <row r="40" ht="15.0" customHeight="1">
      <c r="B40" s="133" t="str">
        <f>HYPERLINK("https://c2.3gokushi.jp/auto_send_troop/index.php?x=" &amp; B39 &amp;"&amp;y=" &amp; C39,"自動出兵ｼｮｰﾄｶｯﾄ")</f>
        <v>自動出兵ｼｮｰﾄｶｯﾄ</v>
      </c>
      <c r="C40" s="113"/>
      <c r="D40" s="134"/>
      <c r="E40" s="1"/>
      <c r="F40" s="128" t="str">
        <f>HYPERLINK("https://c2.3gokushi.jp/auto_send_troop/index.php?x=" &amp; F39 &amp;"&amp;y=" &amp; G39,"自動出兵ｼｮｰﾄｶｯﾄ")</f>
        <v>自動出兵ｼｮｰﾄｶｯﾄ</v>
      </c>
      <c r="G40" s="129"/>
      <c r="H40" s="130"/>
      <c r="I40" s="1"/>
      <c r="J40" s="1"/>
      <c r="K40" s="1"/>
      <c r="L40" s="1"/>
      <c r="M40" s="1"/>
      <c r="N40" s="1"/>
      <c r="O40" s="1"/>
      <c r="P40" s="1"/>
      <c r="Q40" s="1"/>
      <c r="R40" s="1"/>
      <c r="S40" s="1"/>
      <c r="T40" s="1"/>
      <c r="U40" s="1"/>
      <c r="V40" s="1"/>
    </row>
    <row r="41" ht="15.0" customHeight="1">
      <c r="B41" s="135"/>
      <c r="C41" s="101"/>
      <c r="D41" s="136"/>
      <c r="F41" s="123"/>
      <c r="G41" s="124"/>
      <c r="H41" s="125"/>
      <c r="I41" s="1" t="s">
        <v>82</v>
      </c>
    </row>
    <row r="42">
      <c r="B42" s="98">
        <f t="shared" ref="B42:C42" si="5">B39-50</f>
        <v>-735</v>
      </c>
      <c r="C42" s="1">
        <f t="shared" si="5"/>
        <v>-480</v>
      </c>
      <c r="D42" s="89" t="str">
        <f>HYPERLINK("https://c2.3gokushi.jp/map.php?x="&amp;B42&amp;"&amp;y="&amp;C42,"MAP")</f>
        <v>MAP</v>
      </c>
      <c r="F42" s="126">
        <f>F39-50</f>
        <v>-735</v>
      </c>
      <c r="G42" s="1">
        <f>G39+50</f>
        <v>270</v>
      </c>
      <c r="H42" s="127" t="str">
        <f>HYPERLINK("https://c2.3gokushi.jp/map.php?x="&amp;F42&amp;"&amp;y="&amp;G42,"MAP")</f>
        <v>MAP</v>
      </c>
      <c r="I42" s="1" t="s">
        <v>85</v>
      </c>
    </row>
    <row r="43">
      <c r="B43" s="133" t="str">
        <f>HYPERLINK("https://c2.3gokushi.jp/auto_send_troop/index.php?x=" &amp; B42 &amp;"&amp;y=" &amp; C42,"自動出兵ｼｮｰﾄｶｯﾄ")</f>
        <v>自動出兵ｼｮｰﾄｶｯﾄ</v>
      </c>
      <c r="C43" s="113"/>
      <c r="D43" s="134"/>
      <c r="F43" s="128" t="str">
        <f>HYPERLINK("https://c2.3gokushi.jp/auto_send_troop/index.php?x=" &amp; F42 &amp;"&amp;y=" &amp; G42,"自動出兵ｼｮｰﾄｶｯﾄ")</f>
        <v>自動出兵ｼｮｰﾄｶｯﾄ</v>
      </c>
      <c r="G43" s="129"/>
      <c r="H43" s="130"/>
      <c r="I43" s="1" t="s">
        <v>84</v>
      </c>
    </row>
    <row r="44">
      <c r="B44" s="135"/>
      <c r="C44" s="101"/>
      <c r="D44" s="136"/>
      <c r="E44" s="1"/>
      <c r="F44" s="123"/>
      <c r="G44" s="124"/>
      <c r="H44" s="125"/>
      <c r="I44" s="1"/>
      <c r="J44" s="1"/>
      <c r="K44" s="1"/>
      <c r="L44" s="1"/>
      <c r="M44" s="1"/>
      <c r="N44" s="1"/>
      <c r="O44" s="1"/>
      <c r="P44" s="1"/>
      <c r="Q44" s="1"/>
      <c r="R44" s="1"/>
      <c r="S44" s="1"/>
      <c r="T44" s="1"/>
      <c r="U44" s="1"/>
      <c r="V44" s="1"/>
    </row>
    <row r="45">
      <c r="B45" s="98">
        <f t="shared" ref="B45:C45" si="6">B42-50</f>
        <v>-785</v>
      </c>
      <c r="C45" s="1">
        <f t="shared" si="6"/>
        <v>-530</v>
      </c>
      <c r="D45" s="89" t="str">
        <f>HYPERLINK("https://c2.3gokushi.jp/map.php?x="&amp;B45&amp;"&amp;y="&amp;C45,"MAP")</f>
        <v>MAP</v>
      </c>
      <c r="F45" s="126">
        <f>F42-50</f>
        <v>-785</v>
      </c>
      <c r="G45" s="1">
        <f>G42+50</f>
        <v>320</v>
      </c>
      <c r="H45" s="127" t="str">
        <f>HYPERLINK("https://c2.3gokushi.jp/map.php?x="&amp;F45&amp;"&amp;y="&amp;G45,"MAP")</f>
        <v>MAP</v>
      </c>
    </row>
    <row r="46">
      <c r="B46" s="133" t="str">
        <f>HYPERLINK("https://c2.3gokushi.jp/auto_send_troop/index.php?x=" &amp; B45 &amp;"&amp;y=" &amp; C45,"自動出兵ｼｮｰﾄｶｯﾄ")</f>
        <v>自動出兵ｼｮｰﾄｶｯﾄ</v>
      </c>
      <c r="C46" s="113"/>
      <c r="D46" s="134"/>
      <c r="F46" s="128" t="str">
        <f>HYPERLINK("https://c2.3gokushi.jp/auto_send_troop/index.php?x=" &amp; F45 &amp;"&amp;y=" &amp; G45,"自動出兵ｼｮｰﾄｶｯﾄ")</f>
        <v>自動出兵ｼｮｰﾄｶｯﾄ</v>
      </c>
      <c r="G46" s="129"/>
      <c r="H46" s="130"/>
    </row>
    <row r="47">
      <c r="B47" s="135"/>
      <c r="C47" s="101"/>
      <c r="D47" s="136"/>
      <c r="F47" s="123"/>
      <c r="G47" s="124"/>
      <c r="H47" s="125"/>
    </row>
    <row r="48">
      <c r="B48" s="98">
        <f t="shared" ref="B48:C48" si="7">B45-50</f>
        <v>-835</v>
      </c>
      <c r="C48" s="1">
        <f t="shared" si="7"/>
        <v>-580</v>
      </c>
      <c r="D48" s="89" t="str">
        <f>HYPERLINK("https://c2.3gokushi.jp/map.php?x="&amp;B48&amp;"&amp;y="&amp;C48,"MAP")</f>
        <v>MAP</v>
      </c>
      <c r="F48" s="126">
        <f>F45-50</f>
        <v>-835</v>
      </c>
      <c r="G48" s="1">
        <f>G45+50</f>
        <v>370</v>
      </c>
      <c r="H48" s="127" t="str">
        <f>HYPERLINK("https://c2.3gokushi.jp/map.php?x="&amp;F48&amp;"&amp;y="&amp;G48,"MAP")</f>
        <v>MAP</v>
      </c>
    </row>
    <row r="49">
      <c r="B49" s="133" t="str">
        <f>HYPERLINK("https://c2.3gokushi.jp/auto_send_troop/index.php?x=" &amp; B48 &amp;"&amp;y=" &amp; C48,"自動出兵ｼｮｰﾄｶｯﾄ")</f>
        <v>自動出兵ｼｮｰﾄｶｯﾄ</v>
      </c>
      <c r="C49" s="113"/>
      <c r="D49" s="134"/>
      <c r="F49" s="137" t="str">
        <f>HYPERLINK("https://c2.3gokushi.jp/auto_send_troop/index.php?x=" &amp; F48 &amp;"&amp;y=" &amp; G48,"自動出兵ｼｮｰﾄｶｯﾄ")</f>
        <v>自動出兵ｼｮｰﾄｶｯﾄ</v>
      </c>
      <c r="H49" s="138"/>
    </row>
    <row r="50">
      <c r="B50" s="135"/>
      <c r="C50" s="101"/>
      <c r="D50" s="136"/>
      <c r="E50" s="30"/>
      <c r="F50" s="123"/>
      <c r="G50" s="124"/>
      <c r="H50" s="125"/>
    </row>
    <row r="51">
      <c r="B51" s="98">
        <f t="shared" ref="B51:C51" si="8">B48-50</f>
        <v>-885</v>
      </c>
      <c r="C51" s="1">
        <f t="shared" si="8"/>
        <v>-630</v>
      </c>
      <c r="D51" s="89" t="str">
        <f>HYPERLINK("https://c2.3gokushi.jp/map.php?x="&amp;B51&amp;"&amp;y="&amp;C51,"MAP")</f>
        <v>MAP</v>
      </c>
      <c r="F51" s="126">
        <f>F48-50</f>
        <v>-885</v>
      </c>
      <c r="G51" s="1">
        <f>G48+50</f>
        <v>420</v>
      </c>
      <c r="H51" s="127" t="str">
        <f>HYPERLINK("https://c2.3gokushi.jp/map.php?x="&amp;F51&amp;"&amp;y="&amp;G51,"MAP")</f>
        <v>MAP</v>
      </c>
    </row>
    <row r="52">
      <c r="B52" s="133" t="str">
        <f>HYPERLINK("https://c2.3gokushi.jp/auto_send_troop/index.php?x=" &amp; B51 &amp;"&amp;y=" &amp; C51,"自動出兵ｼｮｰﾄｶｯﾄ")</f>
        <v>自動出兵ｼｮｰﾄｶｯﾄ</v>
      </c>
      <c r="C52" s="113"/>
      <c r="D52" s="134"/>
      <c r="F52" s="128" t="str">
        <f>HYPERLINK("https://c2.3gokushi.jp/auto_send_troop/index.php?x=" &amp; F51 &amp;"&amp;y=" &amp; G51,"自動出兵ｼｮｰﾄｶｯﾄ")</f>
        <v>自動出兵ｼｮｰﾄｶｯﾄ</v>
      </c>
      <c r="G52" s="129"/>
      <c r="H52" s="130"/>
    </row>
    <row r="53">
      <c r="B53" s="135"/>
      <c r="C53" s="101"/>
      <c r="D53" s="136"/>
      <c r="E53" s="30"/>
      <c r="F53" s="123"/>
      <c r="G53" s="124"/>
      <c r="H53" s="125"/>
    </row>
    <row r="54">
      <c r="B54" s="98">
        <f t="shared" ref="B54:C54" si="9">B51-50</f>
        <v>-935</v>
      </c>
      <c r="C54" s="1">
        <f t="shared" si="9"/>
        <v>-680</v>
      </c>
      <c r="D54" s="89" t="str">
        <f>HYPERLINK("https://c2.3gokushi.jp/map.php?x="&amp;B54&amp;"&amp;y="&amp;C54,"MAP")</f>
        <v>MAP</v>
      </c>
      <c r="F54" s="126">
        <f>F51-50</f>
        <v>-935</v>
      </c>
      <c r="G54" s="1">
        <f>G51+50</f>
        <v>470</v>
      </c>
      <c r="H54" s="127" t="str">
        <f>HYPERLINK("https://c2.3gokushi.jp/map.php?x="&amp;F54&amp;"&amp;y="&amp;G54,"MAP")</f>
        <v>MAP</v>
      </c>
    </row>
    <row r="55">
      <c r="B55" s="133" t="str">
        <f>HYPERLINK("https://c2.3gokushi.jp/auto_send_troop/index.php?x=" &amp; B54 &amp;"&amp;y=" &amp; C54,"自動出兵ｼｮｰﾄｶｯﾄ")</f>
        <v>自動出兵ｼｮｰﾄｶｯﾄ</v>
      </c>
      <c r="C55" s="113"/>
      <c r="D55" s="134"/>
      <c r="F55" s="128" t="str">
        <f>HYPERLINK("https://c2.3gokushi.jp/auto_send_troop/index.php?x=" &amp; F54 &amp;"&amp;y=" &amp; G54,"自動出兵ｼｮｰﾄｶｯﾄ")</f>
        <v>自動出兵ｼｮｰﾄｶｯﾄ</v>
      </c>
      <c r="G55" s="129"/>
      <c r="H55" s="130"/>
    </row>
    <row r="56">
      <c r="B56" s="135"/>
      <c r="C56" s="101"/>
      <c r="D56" s="136"/>
      <c r="F56" s="123"/>
      <c r="G56" s="124"/>
      <c r="H56" s="125"/>
    </row>
    <row r="57">
      <c r="B57" s="98">
        <f t="shared" ref="B57:C57" si="10">B54-50</f>
        <v>-985</v>
      </c>
      <c r="C57" s="1">
        <f t="shared" si="10"/>
        <v>-730</v>
      </c>
      <c r="D57" s="89" t="str">
        <f>HYPERLINK("https://c2.3gokushi.jp/map.php?x="&amp;B57&amp;"&amp;y="&amp;C57,"MAP")</f>
        <v>MAP</v>
      </c>
      <c r="F57" s="126">
        <f>F54-50</f>
        <v>-985</v>
      </c>
      <c r="G57" s="1">
        <f>G54+50</f>
        <v>520</v>
      </c>
      <c r="H57" s="127" t="str">
        <f>HYPERLINK("https://c2.3gokushi.jp/map.php?x="&amp;F57&amp;"&amp;y="&amp;G57,"MAP")</f>
        <v>MAP</v>
      </c>
    </row>
    <row r="58">
      <c r="B58" s="133" t="str">
        <f>HYPERLINK("https://c2.3gokushi.jp/auto_send_troop/index.php?x=" &amp; B57 &amp;"&amp;y=" &amp; C57,"自動出兵ｼｮｰﾄｶｯﾄ")</f>
        <v>自動出兵ｼｮｰﾄｶｯﾄ</v>
      </c>
      <c r="C58" s="113"/>
      <c r="D58" s="134"/>
      <c r="F58" s="128" t="str">
        <f>HYPERLINK("https://c2.3gokushi.jp/auto_send_troop/index.php?x=" &amp; F57 &amp;"&amp;y=" &amp; G57,"自動出兵ｼｮｰﾄｶｯﾄ")</f>
        <v>自動出兵ｼｮｰﾄｶｯﾄ</v>
      </c>
      <c r="G58" s="129"/>
      <c r="H58" s="130"/>
    </row>
    <row r="59">
      <c r="B59" s="135"/>
      <c r="C59" s="101"/>
      <c r="D59" s="136"/>
      <c r="E59" s="30"/>
      <c r="F59" s="123"/>
      <c r="G59" s="124"/>
      <c r="H59" s="125"/>
    </row>
    <row r="60">
      <c r="B60" s="98">
        <f t="shared" ref="B60:C60" si="11">B57-50</f>
        <v>-1035</v>
      </c>
      <c r="C60" s="1">
        <f t="shared" si="11"/>
        <v>-780</v>
      </c>
      <c r="D60" s="89" t="str">
        <f>HYPERLINK("https://c2.3gokushi.jp/map.php?x="&amp;B60&amp;"&amp;y="&amp;C60,"MAP")</f>
        <v>MAP</v>
      </c>
      <c r="F60" s="126">
        <f>F57-50</f>
        <v>-1035</v>
      </c>
      <c r="G60" s="1">
        <f>G57+50</f>
        <v>570</v>
      </c>
      <c r="H60" s="127" t="str">
        <f>HYPERLINK("https://c2.3gokushi.jp/map.php?x="&amp;F60&amp;"&amp;y="&amp;G60,"MAP")</f>
        <v>MAP</v>
      </c>
    </row>
    <row r="61">
      <c r="B61" s="133" t="str">
        <f>HYPERLINK("https://c2.3gokushi.jp/auto_send_troop/index.php?x=" &amp; B60 &amp;"&amp;y=" &amp; C60,"自動出兵ｼｮｰﾄｶｯﾄ")</f>
        <v>自動出兵ｼｮｰﾄｶｯﾄ</v>
      </c>
      <c r="C61" s="113"/>
      <c r="D61" s="134"/>
      <c r="F61" s="128" t="str">
        <f>HYPERLINK("https://c2.3gokushi.jp/auto_send_troop/index.php?x=" &amp; F60 &amp;"&amp;y=" &amp; G60,"自動出兵ｼｮｰﾄｶｯﾄ")</f>
        <v>自動出兵ｼｮｰﾄｶｯﾄ</v>
      </c>
      <c r="G61" s="129"/>
      <c r="H61" s="130"/>
    </row>
    <row r="62">
      <c r="B62" s="135"/>
      <c r="C62" s="101"/>
      <c r="D62" s="136"/>
      <c r="F62" s="123"/>
      <c r="G62" s="124"/>
      <c r="H62" s="125"/>
    </row>
    <row r="63">
      <c r="B63" s="98">
        <f t="shared" ref="B63:C63" si="12">B60-50</f>
        <v>-1085</v>
      </c>
      <c r="C63" s="1">
        <f t="shared" si="12"/>
        <v>-830</v>
      </c>
      <c r="D63" s="89" t="str">
        <f>HYPERLINK("https://c2.3gokushi.jp/map.php?x="&amp;B63&amp;"&amp;y="&amp;C63,"MAP")</f>
        <v>MAP</v>
      </c>
      <c r="F63" s="126">
        <f>F60-50</f>
        <v>-1085</v>
      </c>
      <c r="G63" s="1">
        <f>G60+50</f>
        <v>620</v>
      </c>
      <c r="H63" s="127" t="str">
        <f>HYPERLINK("https://c2.3gokushi.jp/map.php?x="&amp;F63&amp;"&amp;y="&amp;G63,"MAP")</f>
        <v>MAP</v>
      </c>
    </row>
    <row r="64">
      <c r="B64" s="133" t="str">
        <f>HYPERLINK("https://c2.3gokushi.jp/auto_send_troop/index.php?x=" &amp; B63 &amp;"&amp;y=" &amp; C63,"自動出兵ｼｮｰﾄｶｯﾄ")</f>
        <v>自動出兵ｼｮｰﾄｶｯﾄ</v>
      </c>
      <c r="C64" s="113"/>
      <c r="D64" s="134"/>
      <c r="F64" s="128" t="str">
        <f>HYPERLINK("https://c2.3gokushi.jp/auto_send_troop/index.php?x=" &amp; F63 &amp;"&amp;y=" &amp; G63,"自動出兵ｼｮｰﾄｶｯﾄ")</f>
        <v>自動出兵ｼｮｰﾄｶｯﾄ</v>
      </c>
      <c r="G64" s="129"/>
      <c r="H64" s="130"/>
    </row>
    <row r="65">
      <c r="B65" s="135"/>
      <c r="C65" s="101"/>
      <c r="D65" s="136"/>
      <c r="F65" s="123"/>
      <c r="G65" s="124"/>
      <c r="H65" s="125"/>
    </row>
    <row r="66">
      <c r="B66" s="98">
        <f t="shared" ref="B66:C66" si="13">B63-50</f>
        <v>-1135</v>
      </c>
      <c r="C66" s="1">
        <f t="shared" si="13"/>
        <v>-880</v>
      </c>
      <c r="D66" s="89" t="str">
        <f>HYPERLINK("https://c2.3gokushi.jp/map.php?x="&amp;B66&amp;"&amp;y="&amp;C66,"MAP")</f>
        <v>MAP</v>
      </c>
      <c r="F66" s="126">
        <f>F63-50</f>
        <v>-1135</v>
      </c>
      <c r="G66" s="1">
        <f>G63+50</f>
        <v>670</v>
      </c>
      <c r="H66" s="127" t="str">
        <f>HYPERLINK("https://c2.3gokushi.jp/map.php?x="&amp;F66&amp;"&amp;y="&amp;G66,"MAP")</f>
        <v>MAP</v>
      </c>
    </row>
    <row r="67">
      <c r="B67" s="133" t="str">
        <f>HYPERLINK("https://c2.3gokushi.jp/auto_send_troop/index.php?x=" &amp; B66 &amp;"&amp;y=" &amp; C66,"自動出兵ｼｮｰﾄｶｯﾄ")</f>
        <v>自動出兵ｼｮｰﾄｶｯﾄ</v>
      </c>
      <c r="C67" s="113"/>
      <c r="D67" s="134"/>
      <c r="F67" s="128" t="str">
        <f>HYPERLINK("https://c2.3gokushi.jp/auto_send_troop/index.php?x=" &amp; F66 &amp;"&amp;y=" &amp; G66,"自動出兵ｼｮｰﾄｶｯﾄ")</f>
        <v>自動出兵ｼｮｰﾄｶｯﾄ</v>
      </c>
      <c r="G67" s="129"/>
      <c r="H67" s="130"/>
    </row>
    <row r="68">
      <c r="B68" s="135"/>
      <c r="C68" s="101"/>
      <c r="D68" s="136"/>
      <c r="F68" s="123"/>
      <c r="G68" s="124"/>
      <c r="H68" s="125"/>
    </row>
    <row r="69">
      <c r="B69" s="98">
        <f t="shared" ref="B69:C69" si="14">B66-50</f>
        <v>-1185</v>
      </c>
      <c r="C69" s="1">
        <f t="shared" si="14"/>
        <v>-930</v>
      </c>
      <c r="D69" s="89" t="str">
        <f>HYPERLINK("https://c2.3gokushi.jp/map.php?x="&amp;B69&amp;"&amp;y="&amp;C69,"MAP")</f>
        <v>MAP</v>
      </c>
      <c r="F69" s="126">
        <f>F66-50</f>
        <v>-1185</v>
      </c>
      <c r="G69" s="1">
        <f>G66+50</f>
        <v>720</v>
      </c>
      <c r="H69" s="127" t="str">
        <f>HYPERLINK("https://c2.3gokushi.jp/map.php?x="&amp;F69&amp;"&amp;y="&amp;G69,"MAP")</f>
        <v>MAP</v>
      </c>
    </row>
    <row r="70">
      <c r="B70" s="133" t="str">
        <f>HYPERLINK("https://c2.3gokushi.jp/auto_send_troop/index.php?x=" &amp; B69 &amp;"&amp;y=" &amp; C69,"自動出兵ｼｮｰﾄｶｯﾄ")</f>
        <v>自動出兵ｼｮｰﾄｶｯﾄ</v>
      </c>
      <c r="C70" s="113"/>
      <c r="D70" s="134"/>
      <c r="F70" s="128" t="str">
        <f>HYPERLINK("https://c2.3gokushi.jp/auto_send_troop/index.php?x=" &amp; F69 &amp;"&amp;y=" &amp; G69,"自動出兵ｼｮｰﾄｶｯﾄ")</f>
        <v>自動出兵ｼｮｰﾄｶｯﾄ</v>
      </c>
      <c r="G70" s="129"/>
      <c r="H70" s="130"/>
    </row>
    <row r="71">
      <c r="B71" s="135"/>
      <c r="C71" s="101"/>
      <c r="D71" s="136"/>
      <c r="F71" s="123"/>
      <c r="G71" s="124"/>
      <c r="H71" s="125"/>
    </row>
    <row r="72">
      <c r="B72" s="98">
        <v>-1185.0</v>
      </c>
      <c r="C72" s="1">
        <f>C69-50</f>
        <v>-980</v>
      </c>
      <c r="D72" s="89" t="str">
        <f>HYPERLINK("https://c2.3gokushi.jp/map.php?x="&amp;B72&amp;"&amp;y="&amp;C72,"MAP")</f>
        <v>MAP</v>
      </c>
      <c r="F72" s="126">
        <f>F69-50</f>
        <v>-1235</v>
      </c>
      <c r="G72" s="1">
        <f>G69+50</f>
        <v>770</v>
      </c>
      <c r="H72" s="127" t="str">
        <f>HYPERLINK("https://c2.3gokushi.jp/map.php?x="&amp;F72&amp;"&amp;y="&amp;G72,"MAP")</f>
        <v>MAP</v>
      </c>
    </row>
    <row r="73">
      <c r="B73" s="133" t="str">
        <f>HYPERLINK("https://c2.3gokushi.jp/auto_send_troop/index.php?x=" &amp; B72 &amp;"&amp;y=" &amp; C72,"自動出兵ｼｮｰﾄｶｯﾄ")</f>
        <v>自動出兵ｼｮｰﾄｶｯﾄ</v>
      </c>
      <c r="C73" s="113"/>
      <c r="D73" s="134"/>
      <c r="F73" s="128" t="str">
        <f>HYPERLINK("https://c2.3gokushi.jp/auto_send_troop/index.php?x=" &amp; F72 &amp;"&amp;y=" &amp; G72,"自動出兵ｼｮｰﾄｶｯﾄ")</f>
        <v>自動出兵ｼｮｰﾄｶｯﾄ</v>
      </c>
      <c r="G73" s="129"/>
      <c r="H73" s="130"/>
    </row>
    <row r="74">
      <c r="B74" s="135"/>
      <c r="C74" s="101"/>
      <c r="D74" s="136"/>
    </row>
    <row r="75">
      <c r="B75" s="98">
        <f t="shared" ref="B75:C75" si="15">B72-50</f>
        <v>-1235</v>
      </c>
      <c r="C75" s="1">
        <f t="shared" si="15"/>
        <v>-1030</v>
      </c>
      <c r="D75" s="89" t="str">
        <f>HYPERLINK("https://c2.3gokushi.jp/map.php?x="&amp;B75&amp;"&amp;y="&amp;C75,"MAP")</f>
        <v>MAP</v>
      </c>
    </row>
    <row r="76">
      <c r="B76" s="133" t="str">
        <f>HYPERLINK("https://c2.3gokushi.jp/auto_send_troop/index.php?x=" &amp; B75 &amp;"&amp;y=" &amp; C75,"自動出兵ｼｮｰﾄｶｯﾄ")</f>
        <v>自動出兵ｼｮｰﾄｶｯﾄ</v>
      </c>
      <c r="C76" s="113"/>
      <c r="D76" s="134"/>
    </row>
    <row r="77">
      <c r="B77" s="135"/>
      <c r="C77" s="101"/>
      <c r="D77" s="136"/>
    </row>
    <row r="78">
      <c r="B78" s="98">
        <f t="shared" ref="B78:C78" si="16">B75-50</f>
        <v>-1285</v>
      </c>
      <c r="C78" s="1">
        <f t="shared" si="16"/>
        <v>-1080</v>
      </c>
      <c r="D78" s="89" t="str">
        <f>HYPERLINK("https://c2.3gokushi.jp/map.php?x="&amp;B78&amp;"&amp;y="&amp;C78,"MAP")</f>
        <v>MAP</v>
      </c>
    </row>
    <row r="79">
      <c r="B79" s="133" t="str">
        <f>HYPERLINK("https://c2.3gokushi.jp/auto_send_troop/index.php?x=" &amp; B78 &amp;"&amp;y=" &amp; C78,"自動出兵ｼｮｰﾄｶｯﾄ")</f>
        <v>自動出兵ｼｮｰﾄｶｯﾄ</v>
      </c>
      <c r="C79" s="113"/>
      <c r="D79" s="134"/>
    </row>
    <row r="80">
      <c r="B80" s="135"/>
      <c r="C80" s="101"/>
      <c r="D80" s="136"/>
    </row>
    <row r="81">
      <c r="B81" s="98">
        <v>-1285.0</v>
      </c>
      <c r="C81" s="1">
        <f>C78-50</f>
        <v>-1130</v>
      </c>
      <c r="D81" s="89" t="str">
        <f>HYPERLINK("https://c2.3gokushi.jp/map.php?x="&amp;B81&amp;"&amp;y="&amp;C81,"MAP")</f>
        <v>MAP</v>
      </c>
    </row>
    <row r="82">
      <c r="B82" s="133" t="str">
        <f>HYPERLINK("https://c2.3gokushi.jp/auto_send_troop/index.php?x=" &amp; B81 &amp;"&amp;y=" &amp; C81,"自動出兵ｼｮｰﾄｶｯﾄ")</f>
        <v>自動出兵ｼｮｰﾄｶｯﾄ</v>
      </c>
      <c r="C82" s="113"/>
      <c r="D82" s="134"/>
    </row>
    <row r="83">
      <c r="B83" s="135"/>
      <c r="C83" s="101"/>
      <c r="D83" s="136"/>
    </row>
    <row r="84">
      <c r="B84" s="98">
        <v>-1285.0</v>
      </c>
      <c r="C84" s="1">
        <f>C81-50</f>
        <v>-1180</v>
      </c>
      <c r="D84" s="89" t="str">
        <f>HYPERLINK("https://c2.3gokushi.jp/map.php?x="&amp;B84&amp;"&amp;y="&amp;C84,"MAP")</f>
        <v>MAP</v>
      </c>
    </row>
    <row r="85">
      <c r="B85" s="133" t="str">
        <f>HYPERLINK("https://c2.3gokushi.jp/auto_send_troop/index.php?x=" &amp; B84 &amp;"&amp;y=" &amp; C84,"自動出兵ｼｮｰﾄｶｯﾄ")</f>
        <v>自動出兵ｼｮｰﾄｶｯﾄ</v>
      </c>
      <c r="C85" s="113"/>
      <c r="D85" s="134"/>
    </row>
    <row r="86">
      <c r="B86" s="135"/>
      <c r="C86" s="101"/>
      <c r="D86" s="136"/>
    </row>
    <row r="87">
      <c r="B87" s="98">
        <v>-1285.0</v>
      </c>
      <c r="C87" s="1">
        <f>C84-50</f>
        <v>-1230</v>
      </c>
      <c r="D87" s="89" t="str">
        <f>HYPERLINK("https://c2.3gokushi.jp/map.php?x="&amp;B87&amp;"&amp;y="&amp;C87,"MAP")</f>
        <v>MAP</v>
      </c>
    </row>
    <row r="88">
      <c r="B88" s="133" t="str">
        <f>HYPERLINK("https://c2.3gokushi.jp/auto_send_troop/index.php?x=" &amp; B87 &amp;"&amp;y=" &amp; C87,"自動出兵ｼｮｰﾄｶｯﾄ")</f>
        <v>自動出兵ｼｮｰﾄｶｯﾄ</v>
      </c>
      <c r="C88" s="113"/>
      <c r="D88" s="134"/>
    </row>
    <row r="89">
      <c r="B89" s="135"/>
      <c r="C89" s="101"/>
      <c r="D89" s="136"/>
    </row>
    <row r="90">
      <c r="B90" s="98">
        <v>-1285.0</v>
      </c>
      <c r="C90" s="1">
        <f>C87-50</f>
        <v>-1280</v>
      </c>
      <c r="D90" s="89" t="str">
        <f>HYPERLINK("https://c2.3gokushi.jp/map.php?x="&amp;B90&amp;"&amp;y="&amp;C90,"MAP")</f>
        <v>MAP</v>
      </c>
    </row>
    <row r="91">
      <c r="B91" s="133" t="str">
        <f>HYPERLINK("https://c2.3gokushi.jp/auto_send_troop/index.php?x=" &amp; B90 &amp;"&amp;y=" &amp; C90,"自動出兵ｼｮｰﾄｶｯﾄ")</f>
        <v>自動出兵ｼｮｰﾄｶｯﾄ</v>
      </c>
      <c r="C91" s="113"/>
      <c r="D91" s="134"/>
    </row>
    <row r="92">
      <c r="B92" s="135"/>
      <c r="C92" s="101"/>
      <c r="D92" s="136"/>
    </row>
    <row r="93">
      <c r="B93" s="98">
        <v>-1285.0</v>
      </c>
      <c r="C93" s="1">
        <f>C90-50</f>
        <v>-1330</v>
      </c>
      <c r="D93" s="89" t="str">
        <f>HYPERLINK("https://c2.3gokushi.jp/map.php?x="&amp;B93&amp;"&amp;y="&amp;C93,"MAP")</f>
        <v>MAP</v>
      </c>
    </row>
    <row r="94">
      <c r="B94" s="99" t="str">
        <f>HYPERLINK("https://c2.3gokushi.jp/auto_send_troop/index.php?x=" &amp; B93 &amp;"&amp;y=" &amp; C93,"自動出兵ｼｮｰﾄｶｯﾄ")</f>
        <v>自動出兵ｼｮｰﾄｶｯﾄ</v>
      </c>
      <c r="C94" s="61"/>
      <c r="D94" s="62"/>
    </row>
  </sheetData>
  <mergeCells count="105">
    <mergeCell ref="B37:D37"/>
    <mergeCell ref="B38:D38"/>
    <mergeCell ref="B40:D40"/>
    <mergeCell ref="B41:D41"/>
    <mergeCell ref="B43:D43"/>
    <mergeCell ref="B44:D44"/>
    <mergeCell ref="B46:D46"/>
    <mergeCell ref="B47:D47"/>
    <mergeCell ref="B49:D49"/>
    <mergeCell ref="B50:D50"/>
    <mergeCell ref="B52:D52"/>
    <mergeCell ref="B53:D53"/>
    <mergeCell ref="B55:D55"/>
    <mergeCell ref="B56:D56"/>
    <mergeCell ref="B58:D58"/>
    <mergeCell ref="B59:D59"/>
    <mergeCell ref="B61:D61"/>
    <mergeCell ref="B62:D62"/>
    <mergeCell ref="B64:D64"/>
    <mergeCell ref="B65:D65"/>
    <mergeCell ref="B67:D67"/>
    <mergeCell ref="B68:D68"/>
    <mergeCell ref="B70:D70"/>
    <mergeCell ref="B71:D71"/>
    <mergeCell ref="B73:D73"/>
    <mergeCell ref="B74:D74"/>
    <mergeCell ref="B76:D76"/>
    <mergeCell ref="B77:D77"/>
    <mergeCell ref="B89:D89"/>
    <mergeCell ref="B91:D91"/>
    <mergeCell ref="B92:D92"/>
    <mergeCell ref="B94:D94"/>
    <mergeCell ref="B79:D79"/>
    <mergeCell ref="B80:D80"/>
    <mergeCell ref="B82:D82"/>
    <mergeCell ref="B83:D83"/>
    <mergeCell ref="B85:D85"/>
    <mergeCell ref="B86:D86"/>
    <mergeCell ref="B88:D88"/>
    <mergeCell ref="F49:H49"/>
    <mergeCell ref="F50:H50"/>
    <mergeCell ref="F52:H52"/>
    <mergeCell ref="F53:H53"/>
    <mergeCell ref="F55:H55"/>
    <mergeCell ref="F56:H56"/>
    <mergeCell ref="F58:H58"/>
    <mergeCell ref="F70:H70"/>
    <mergeCell ref="F71:H71"/>
    <mergeCell ref="F73:H73"/>
    <mergeCell ref="F59:H59"/>
    <mergeCell ref="F61:H61"/>
    <mergeCell ref="F62:H62"/>
    <mergeCell ref="F64:H64"/>
    <mergeCell ref="F65:H65"/>
    <mergeCell ref="F67:H67"/>
    <mergeCell ref="F68:H68"/>
    <mergeCell ref="B2:D2"/>
    <mergeCell ref="B3:D3"/>
    <mergeCell ref="B5:D5"/>
    <mergeCell ref="B7:D7"/>
    <mergeCell ref="F7:F8"/>
    <mergeCell ref="B8:D8"/>
    <mergeCell ref="B10:D10"/>
    <mergeCell ref="B11:D11"/>
    <mergeCell ref="F11:H11"/>
    <mergeCell ref="B13:D13"/>
    <mergeCell ref="F13:H13"/>
    <mergeCell ref="B14:D14"/>
    <mergeCell ref="F14:H14"/>
    <mergeCell ref="F16:H16"/>
    <mergeCell ref="B16:D16"/>
    <mergeCell ref="B17:D17"/>
    <mergeCell ref="B19:D19"/>
    <mergeCell ref="B20:D20"/>
    <mergeCell ref="B22:D22"/>
    <mergeCell ref="B23:D23"/>
    <mergeCell ref="B25:D25"/>
    <mergeCell ref="F17:H17"/>
    <mergeCell ref="F19:H19"/>
    <mergeCell ref="F20:H20"/>
    <mergeCell ref="F22:H22"/>
    <mergeCell ref="F23:H23"/>
    <mergeCell ref="F25:H25"/>
    <mergeCell ref="F26:H26"/>
    <mergeCell ref="B26:D26"/>
    <mergeCell ref="B28:D28"/>
    <mergeCell ref="B29:D29"/>
    <mergeCell ref="B31:D31"/>
    <mergeCell ref="B32:D32"/>
    <mergeCell ref="B34:D34"/>
    <mergeCell ref="B35:D35"/>
    <mergeCell ref="F28:H28"/>
    <mergeCell ref="F29:H29"/>
    <mergeCell ref="F31:H31"/>
    <mergeCell ref="F32:H32"/>
    <mergeCell ref="F34:H34"/>
    <mergeCell ref="F35:H35"/>
    <mergeCell ref="F37:H37"/>
    <mergeCell ref="F38:H38"/>
    <mergeCell ref="F40:H40"/>
    <mergeCell ref="F41:H41"/>
    <mergeCell ref="F43:H43"/>
    <mergeCell ref="F44:H44"/>
    <mergeCell ref="F46:H46"/>
    <mergeCell ref="F47:H47"/>
  </mergeCells>
  <hyperlinks>
    <hyperlink display="使用方法等は目次・取説タブ参照のこと" location="'目次・取説'!A1" ref="N1"/>
    <hyperlink display="目次・取説" location="'目次・取説'!A1" ref="N6"/>
    <hyperlink display="南東大幹線＋東（下邳）" location="'南東大幹線ルート'!A1" ref="N8"/>
    <hyperlink display="南・朱雀・長沙" location="'南ルート '!A1" ref="N10"/>
    <hyperlink display="南東裏幹線" location="'南東砦隣接分岐用（裏）'!A1" ref="N12"/>
  </hyperlinks>
  <drawing r:id="rId1"/>
</worksheet>
</file>